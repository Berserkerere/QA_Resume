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codeName="ЭтаКнига"/>
  <mc:AlternateContent xmlns:mc="http://schemas.openxmlformats.org/markup-compatibility/2006">
    <mc:Choice Requires="x15">
      <x15ac:absPath xmlns:x15ac="http://schemas.microsoft.com/office/spreadsheetml/2010/11/ac" url="D:\Разні курси\Testing QA\для гіту і нотіону\"/>
    </mc:Choice>
  </mc:AlternateContent>
  <xr:revisionPtr revIDLastSave="0" documentId="13_ncr:1_{AEF66A32-32FC-48AB-B6C8-4A51D327ED56}" xr6:coauthVersionLast="47" xr6:coauthVersionMax="47" xr10:uidLastSave="{00000000-0000-0000-0000-000000000000}"/>
  <bookViews>
    <workbookView xWindow="-108" yWindow="-108" windowWidth="23256" windowHeight="12576" tabRatio="911" activeTab="16" xr2:uid="{00000000-000D-0000-FFFF-FFFF00000000}"/>
  </bookViews>
  <sheets>
    <sheet name="test suite" sheetId="1" r:id="rId1"/>
    <sheet name="temp tc" sheetId="3" state="hidden" r:id="rId2"/>
    <sheet name="TS-01" sheetId="2" r:id="rId3"/>
    <sheet name="TS-03" sheetId="4" r:id="rId4"/>
    <sheet name="TS-05" sheetId="5" r:id="rId5"/>
    <sheet name="TS-14" sheetId="6" r:id="rId6"/>
    <sheet name="TS-15" sheetId="7" r:id="rId7"/>
    <sheet name="TS-19" sheetId="13" r:id="rId8"/>
    <sheet name="TS-API-20" sheetId="8" r:id="rId9"/>
    <sheet name="TS-API-21" sheetId="9" r:id="rId10"/>
    <sheet name="TS-API-22" sheetId="11" r:id="rId11"/>
    <sheet name="TS-API-23" sheetId="12" r:id="rId12"/>
    <sheet name="TS-API-24" sheetId="14" r:id="rId13"/>
    <sheet name="TS-API-25" sheetId="10" r:id="rId14"/>
    <sheet name="TS-LT-29" sheetId="17" r:id="rId15"/>
    <sheet name="Check List" sheetId="18" r:id="rId16"/>
    <sheet name="Bugs" sheetId="20" r:id="rId17"/>
    <sheet name="Bug_status" sheetId="21" state="hidden" r:id="rId18"/>
    <sheet name="CL-status" sheetId="19" state="hidden"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18" l="1"/>
  <c r="I6" i="18"/>
  <c r="I5" i="18"/>
  <c r="I4" i="18"/>
  <c r="I3" i="18"/>
</calcChain>
</file>

<file path=xl/sharedStrings.xml><?xml version="1.0" encoding="utf-8"?>
<sst xmlns="http://schemas.openxmlformats.org/spreadsheetml/2006/main" count="680" uniqueCount="350">
  <si>
    <t>ID</t>
  </si>
  <si>
    <t>Title</t>
  </si>
  <si>
    <t>TS-01</t>
  </si>
  <si>
    <t>TS-02</t>
  </si>
  <si>
    <t>TS-03</t>
  </si>
  <si>
    <t>TS-04</t>
  </si>
  <si>
    <t>TS-05</t>
  </si>
  <si>
    <t>TS-06</t>
  </si>
  <si>
    <t>TS-07</t>
  </si>
  <si>
    <t>TS-08</t>
  </si>
  <si>
    <t>TS-09</t>
  </si>
  <si>
    <t>TS-10</t>
  </si>
  <si>
    <t>TS-11</t>
  </si>
  <si>
    <t>TS-12</t>
  </si>
  <si>
    <t>TS-13</t>
  </si>
  <si>
    <t>TS-14</t>
  </si>
  <si>
    <t>TS-15</t>
  </si>
  <si>
    <t>TS-16</t>
  </si>
  <si>
    <t>Test type</t>
  </si>
  <si>
    <t>Priority</t>
  </si>
  <si>
    <t>Steps</t>
  </si>
  <si>
    <t>TS-17</t>
  </si>
  <si>
    <t>High</t>
  </si>
  <si>
    <t>Medium</t>
  </si>
  <si>
    <t>TS-18</t>
  </si>
  <si>
    <t>TS-19</t>
  </si>
  <si>
    <t>Expected result</t>
  </si>
  <si>
    <t>№</t>
  </si>
  <si>
    <t xml:space="preserve">Precondition: </t>
  </si>
  <si>
    <t>Expected Result</t>
  </si>
  <si>
    <t>Test Data</t>
  </si>
  <si>
    <t>Additionally</t>
  </si>
  <si>
    <t>Name TS</t>
  </si>
  <si>
    <t>https://sauce-demo.myshopify.com/collections/frontpage/products/grey-jacket</t>
  </si>
  <si>
    <t>https://sauce-demo.myshopify.com/cart</t>
  </si>
  <si>
    <t>а</t>
  </si>
  <si>
    <t>Precondition: 
1. Відкрити програму Postman
2. Створити новий запит
3. Обрати метод POST</t>
  </si>
  <si>
    <t>https://sauce-demo.myshopify.com/cart/add.js</t>
  </si>
  <si>
    <t>quantity</t>
  </si>
  <si>
    <t>id</t>
  </si>
  <si>
    <t>{
    "id": 611945025,
    "properties": {},
    "quantity": 1,
    "variant_id": 611945025,
    "key": "611945025:019db91541cb4f6510ae083c14634b43",
    "title": "Grey jacket - Grey jacket",
    "product_title": "Grey jacket",
    "variant_title": "Grey jacket",
    "price": 5500,
    "original_price": 5500,
    "discounted_price": 5500,
    "line_price": 5500,
    "original_line_price": 5500,
    "presentment_price": 55.0,
    "total_discount": 0,
    "discounts": [],
    "sku": "",
    "grams": 0,
    "vendor": "Sauce Demo",
    "taxable": true,
    "product_id": 263739389,
    "product_has_only_default_variant": false,
    "gift_card": false,
    "final_price": 5500,
    "final_line_price": 5500,
    "url": "/products/grey-jacket?variant=611945025",
    "featured_image": {
        "alt": "Grey jacket",
        "aspect_ratio": 0.625,
        "height": 480,
        "url": "https://cdn.shopify.com/s/files/1/0399/1157/products/fleece.jpg?v=1394656989",
        "width": 300
    },
    "image": "https://cdn.shopify.com/s/files/1/0399/1157/products/fleece.jpg?v=1394656989",
    "handle": "grey-jacket",
    "requires_shipping": true,
    "product_type": "Jackets",
    "untranslated_product_title": "Grey jacket",
    "product_description": "This area is populated by the product description. If you ever run out of things to say about what you're selling then take a look at 9 ways to write compelling product descriptions. In Theme Settings you can also change render the product description to the write of the product images.X",
    "untranslated_variant_title": "Grey jacket",
    "variant_options": [
        "Grey jacket"
    ],
    "options_with_values": [
        {
            "name": "Title",
            "value": "Grey jacket"
        }
    ],
    "line_level_discount_allocations": [],
    "line_level_total_discount": 0
}</t>
  </si>
  <si>
    <t>Status: 200 OK. JSON response contains correct item 'id': 611945025.</t>
  </si>
  <si>
    <t>TS-API-20</t>
  </si>
  <si>
    <t>TS-API-21</t>
  </si>
  <si>
    <t>TS-API-22</t>
  </si>
  <si>
    <t>TS-API-23</t>
  </si>
  <si>
    <t>TS-API-24</t>
  </si>
  <si>
    <t>TS-API-25</t>
  </si>
  <si>
    <t>TS-API-26</t>
  </si>
  <si>
    <t>TS-API-27</t>
  </si>
  <si>
    <t>TS-API-28</t>
  </si>
  <si>
    <t>TS-LT-29</t>
  </si>
  <si>
    <t>TS-STRESS-30</t>
  </si>
  <si>
    <t>https://sauce-demo.myshopify.com/cart.js</t>
  </si>
  <si>
    <t>{
    "token": "hWNDB9JJMb8p6K8L7EKfIQwF?key=31400f5c31c8701930cb94b1311dd14c",
    "note": "",
    "attributes": {},
    "original_total_price": 0,
    "total_price": 0,
    "total_discount": 0,
    "total_weight": 0.0,
    "item_count": 0,
    "items": [],
    "requires_shipping": false,
    "currency": "GBP",
    "items_subtotal_price": 0,
    "cart_level_discount_applications": [],
    "discount_codes": []
}</t>
  </si>
  <si>
    <t>Status: 200 OK. JSON response contains correct key 'items': [].</t>
  </si>
  <si>
    <t>{
    "token": "hWNDB9JJMb8p6K8L7EKfIQwF?key=31400f5c31c8701930cb94b1311dd14c",
    "note": "",
    "attributes": {},
    "original_total_price": 5500,
    "total_price": 5500,
    "total_discount": 0,
    "total_weight": 0.0,
    "item_count": 1,
    "items": [
        {
            "id": 611945025,
            "properties": {},
            "quantity": 1,
            "variant_id": 611945025,
            "key": "611945025:019db91541cb4f6510ae083c14634b43",
            "title": "Grey jacket - Grey jacket",
            "price": 5500,
            "original_price": 5500,
            "presentment_price": 55.0,
            "discounted_price": 5500,
            "line_price": 5500,
            "original_line_price": 5500,
            "total_discount": 0,
            "discounts": [],
            "sku": "",
            "grams": 0,
            "vendor": "Sauce Demo",
            "taxable": true,
            "product_id": 263739389,
            "product_has_only_default_variant": false,
            "gift_card": false,
            "final_price": 5500,
            "final_line_price": 5500,
            "url": "/products/grey-jacket?variant=611945025",
            "featured_image": {
                "aspect_ratio": 0.625,
                "alt": "Grey jacket",
                "height": 480,
                "url": "https://cdn.shopify.com/s/files/1/0399/1157/products/fleece.jpg?v=1394656989",
                "width": 300
            },
            "image": "https://cdn.shopify.com/s/files/1/0399/1157/products/fleece.jpg?v=1394656989",
            "handle": "grey-jacket",
            "requires_shipping": true,
            "product_type": "Jackets",
            "product_title": "Grey jacket",
            "product_description": "This area is populated by the product description. If you ever run out of things to say about what you're selling then take a look at 9 ways to write compelling product descriptions. In Theme Settings you can also change render the product description to the write of the product images.X",
            "variant_title": "Grey jacket",
            "variant_options": [
                "Grey jacket"
            ],
            "options_with_values": [
                {
                    "name": "Title",
                    "value": "Grey jacket"
                }
            ],
            "line_level_discount_allocations": [],
            "line_level_total_discount": 0,
            "quantity_rule": {
                "min": 1,
                "max": null,
                "increment": 1
            },
            "has_components": false
        }
    ],
    "requires_shipping": true,
    "currency": "GBP",
    "items_subtotal_price": 5500,
    "cart_level_discount_applications": [],
    "discount_codes": []
}</t>
  </si>
  <si>
    <t>Status: 200 OK. JSON response contains correct item 'id': 611945025 and 'quantity': 1.</t>
  </si>
  <si>
    <t>line</t>
  </si>
  <si>
    <t>{
    "token": "hWNDB9JJMb8p6K8L7EKfIQwF?key=31400f5c31c8701930cb94b1311dd14c",
    "note": "",
    "attributes": {},
    "original_total_price": 0,
    "total_price": 0,
    "total_discount": 0,
    "total_weight": 0.0,
    "item_count": 0,
    "items": [],
    "requires_shipping": false,
    "currency": "GBP",
    "items_subtotal_price": 0,
    "cart_level_discount_applications": [],
    "discount_codes": [],
    "items_added": [],
    "items_removed": [
        {
            "product_id": 263739389,
            "variant_id": 611945025,
            "id": "78ff5c0f-34c6-4bb4-bfdd-fe3692fd97e1",
            "image": "https://cdn.shopify.com/s/files/1/0399/1157/products/fleece.jpg?v=1394656989",
            "price": "55.00",
            "presentment_price": 55.0,
            "quantity": 1,
            "title": "Grey jacket - Grey jacket",
            "product_title": "Grey jacket - Grey jacket",
            "variant_title": "Grey jacket",
            "vendor": "Sauce Demo",
            "product_type": "Jackets",
            "sku": "",
            "url": "/products/grey-jacket?variant=611945025",
            "untranslated_product_title": "Grey jacket - Grey jacket",
            "untranslated_variant_title": "Grey jacket",
            "view_key": "611945025:019db91541cb4f6510ae083c14634b43"
        }
    ]
}</t>
  </si>
  <si>
    <t>Status: 200 OK. JSON response contains correct data in key 'items_removed'.</t>
  </si>
  <si>
    <t>items[0][id]</t>
  </si>
  <si>
    <t>items[0][quantity]</t>
  </si>
  <si>
    <t>items[1][id]</t>
  </si>
  <si>
    <t>items[1][quantity]</t>
  </si>
  <si>
    <t>{
    "items": [
        {
            "id": 611945025,
            "properties": {},
            "quantity": 1,
            "variant_id": 611945025,
            "key": "611945025:019db91541cb4f6510ae083c14634b43",
            "title": "Grey jacket - Grey jacket",
            "product_title": "Grey jacket",
            "variant_title": "Grey jacket",
            "price": 5500,
            "original_price": 5500,
            "discounted_price": 5500,
            "line_price": 5500,
            "original_line_price": 5500,
            "presentment_price": 55.0,
            "total_discount": 0,
            "discounts": [],
            "sku": "",
            "grams": 0,
            "vendor": "Sauce Demo",
            "taxable": true,
            "product_id": 263739389,
            "product_has_only_default_variant": false,
            "gift_card": false,
            "final_price": 5500,
            "final_line_price": 5500,
            "url": "/products/grey-jacket?variant=611945025",
            "featured_image": {
                "alt": "Grey jacket",
                "aspect_ratio": 0.625,
                "height": 480,
                "url": "https://cdn.shopify.com/s/files/1/0399/1157/products/fleece.jpg?v=1394656989",
                "width": 300
            },
            "image": "https://cdn.shopify.com/s/files/1/0399/1157/products/fleece.jpg?v=1394656989",
            "handle": "grey-jacket",
            "requires_shipping": true,
            "product_type": "Jackets",
            "untranslated_product_title": "Grey jacket",
            "product_description": "This area is populated by the product description. If you ever run out of things to say about what you're selling then take a look at 9 ways to write compelling product descriptions. In Theme Settings you can also change render the product description to the write of the product images.X",
            "untranslated_variant_title": "Grey jacket",
            "variant_options": [
                "Grey jacket"
            ],
            "options_with_values": [
                {
                    "name": "Title",
                    "value": "Grey jacket"
                }
            ],
            "line_level_discount_allocations": [],
            "line_level_total_discount": 0
        },
        {
            "id": 611952521,
            "properties": {},
            "quantity": 2,
            "variant_id": 611952521,
            "key": "611952521:4d431e52eab1f8e6ede90b2c15edc5b7",
            "title": "Noir jacket - S / Blue",
            "product_title": "Noir jacket",
            "variant_title": "S / Blue",
            "price": 6000,
            "original_price": 6000,
            "discounted_price": 6000,
            "line_price": 12000,
            "original_line_price": 12000,
            "presentment_price": 60.0,
            "total_discount": 0,
            "discounts": [],
            "sku": "",
            "grams": 0,
            "vendor": "Sauce Demo",
            "taxable": true,
            "product_id": 263741321,
            "product_has_only_default_variant": false,
            "gift_card": false,
            "final_price": 6000,
            "final_line_price": 12000,
            "url": "/products/noir-jacket?variant=611952521",
            "featured_image": {
                "alt": "Noir jacket",
                "aspect_ratio": 0.625,
                "height": 480,
                "url": "https://cdn.shopify.com/s/files/1/0399/1157/products/jacket.jpg?v=1394657254",
                "width": 300
            },
            "image": "https://cdn.shopify.com/s/files/1/0399/1157/products/jacket.jpg?v=1394657254",
            "handle": "noir-jacket",
            "requires_shipping": true,
            "product_type": "Jackets",
            "untranslated_product_title": "Noir jacket",
            "product_description": "This area is populated by the product description. If you ever run out of things to say about what you're selling then take a look at 9 ways to write compelling product descriptions. In Theme Settings you can also change render the product description to the write of the product images.",
            "untranslated_variant_title": "S / Blue",
            "variant_options": [
                "S",
                "Blue"
            ],
            "options_with_values": [
                {
                    "name": "Size",
                    "value": "S"
                },
                {
                    "name": "Color",
                    "value": "Blue"
                }
            ],
            "line_level_discount_allocations": [],
            "line_level_total_discount": 0
        }
    ]
}</t>
  </si>
  <si>
    <t>Status: 200 OK. JSON response contains correct item 'id': (611945025 and 'quantity': 1) and (611952521 and 'quantity': 2).</t>
  </si>
  <si>
    <t>{
    "status": 422,
    "message": "Cart Error",
    "description": "Cannot find variant"
}</t>
  </si>
  <si>
    <t>Status Code: 422 Unprocessable Entity. The request was well-formed but had
semantic errors.</t>
  </si>
  <si>
    <t>Number of Threads (users): 50
Ramp-up period (seconds): 30
Loop Count: 1</t>
  </si>
  <si>
    <t>id,quantity</t>
  </si>
  <si>
    <t>protocol, server_name</t>
  </si>
  <si>
    <t>https, sauce-demo.myshopify.com</t>
  </si>
  <si>
    <t>Protocol [http]: https
Server Name or IP: ${server_name}
HTTP Request: POST
Path: cart/add.js</t>
  </si>
  <si>
    <t>id, quantity</t>
  </si>
  <si>
    <t>${id}, ${quantity}</t>
  </si>
  <si>
    <t>Random Delay Maximum (in milliseconds): 3000
Constant Delay Offset (in milliseconds): 2000</t>
  </si>
  <si>
    <t>application/x-www-form-urlencoded</t>
  </si>
  <si>
    <t>CL-01</t>
  </si>
  <si>
    <t>CL-03</t>
  </si>
  <si>
    <t>CL-05</t>
  </si>
  <si>
    <t>CL-02</t>
  </si>
  <si>
    <t>CL-04</t>
  </si>
  <si>
    <t>CL-06</t>
  </si>
  <si>
    <t>CL-07</t>
  </si>
  <si>
    <t>CL-08</t>
  </si>
  <si>
    <t>CL-09</t>
  </si>
  <si>
    <t>CL-10</t>
  </si>
  <si>
    <t>CL-11</t>
  </si>
  <si>
    <t>CL-12</t>
  </si>
  <si>
    <t>CL-13</t>
  </si>
  <si>
    <t>New</t>
  </si>
  <si>
    <t>In Progress</t>
  </si>
  <si>
    <t>Pass</t>
  </si>
  <si>
    <t>Fail</t>
  </si>
  <si>
    <t>Blocked</t>
  </si>
  <si>
    <t>Functional</t>
  </si>
  <si>
    <t>Performance</t>
  </si>
  <si>
    <t>API</t>
  </si>
  <si>
    <t>Bug_01</t>
  </si>
  <si>
    <t>Bug_02</t>
  </si>
  <si>
    <t>Bug_03</t>
  </si>
  <si>
    <t>Summary</t>
  </si>
  <si>
    <t>Actual Result</t>
  </si>
  <si>
    <t>Description</t>
  </si>
  <si>
    <t>Precondition</t>
  </si>
  <si>
    <t>Severity</t>
  </si>
  <si>
    <t>Status</t>
  </si>
  <si>
    <t>Open</t>
  </si>
  <si>
    <t>Fixed</t>
  </si>
  <si>
    <t>Closed</t>
  </si>
  <si>
    <t>Steps to Reproduce</t>
  </si>
  <si>
    <t>Environment</t>
  </si>
  <si>
    <t xml:space="preserve">Attachments </t>
  </si>
  <si>
    <t>Additional Information</t>
  </si>
  <si>
    <t>Frequency</t>
  </si>
  <si>
    <t>Bug_04</t>
  </si>
  <si>
    <t>Bug_05</t>
  </si>
  <si>
    <t>Low</t>
  </si>
  <si>
    <t>Positive</t>
  </si>
  <si>
    <t>Negative</t>
  </si>
  <si>
    <t>API (Positive)</t>
  </si>
  <si>
    <t>API (Negative)</t>
  </si>
  <si>
    <t>Load</t>
  </si>
  <si>
    <t>Stress</t>
  </si>
  <si>
    <t>Click "Add to cart" on the product page</t>
  </si>
  <si>
    <t>The cart icon shows "1", the product is displayed in the cart</t>
  </si>
  <si>
    <t>1. Click "My cart" on the product page
2. Click "Remove" in the drop-down cart</t>
  </si>
  <si>
    <t>The product is removed from the cart, the product quantity counter is updated</t>
  </si>
  <si>
    <t>1. Click "Check Out" on the product page
2. Click the "x" on the cart page next to the product you want to remove</t>
  </si>
  <si>
    <t>Open the drop-down cart without adding the item to the cart</t>
  </si>
  <si>
    <t>Click "My cart" on the product page</t>
  </si>
  <si>
    <t>A drop-down cart opens, a message is displayed stating that the cart is empty</t>
  </si>
  <si>
    <t>Open drop-down cart after adding product to cart</t>
  </si>
  <si>
    <t>A drop-down cart opens, displaying the products added to the cart.</t>
  </si>
  <si>
    <t>Open drop-down cart after adding product to cart and reloading page</t>
  </si>
  <si>
    <t>Add 3 different products to cart</t>
  </si>
  <si>
    <t>Remove 2 different items from cart</t>
  </si>
  <si>
    <t>The cart icon shows "3", the products are displayed in the cart</t>
  </si>
  <si>
    <t>The cart icon shows "1", showing one item in the cart</t>
  </si>
  <si>
    <t>1. Click "My cart" on the product page
2. Click "Check Out" in the drop-down cart</t>
  </si>
  <si>
    <t>The cart page opens, the products are displayed correctly</t>
  </si>
  <si>
    <t>Click "Check Out" on the cart page</t>
  </si>
  <si>
    <t>The order page opens</t>
  </si>
  <si>
    <t>1. Click "My cart" on the product page
3. Enter "5" in the quantity field
2. Click "Check Out" in the drop-down cart</t>
  </si>
  <si>
    <t>The cart icon shows "5", showing one item in the cart</t>
  </si>
  <si>
    <t>1. Click "My cart" on the product page
3. Enter "-5" in the quantity field
2. Click "Check Out" in the drop-down cart</t>
  </si>
  <si>
    <t>The system gives an error or leaves the previous value</t>
  </si>
  <si>
    <t>1. Click "My cart" on the product page
3. Enter "а" in the quantity field
2. Click "Check Out" in the drop-down cart</t>
  </si>
  <si>
    <t>1. Click "My cart" on the product page
3. Enter "№" in the quantity field
2. Click "Check Out" in the drop-down cart</t>
  </si>
  <si>
    <t>1. Click "My cart" on the product page
3. Enter "0" in the quantity field
2. Click "Check Out" in the drop-down cart</t>
  </si>
  <si>
    <t>1. Click "My cart" on the product page
3. Enter "99999999" in the quantity field
2. Click "Check Out" in the drop-down cart</t>
  </si>
  <si>
    <t>Quickly click "Add to cart" 10 times on the product page</t>
  </si>
  <si>
    <t>The product is added to the cart only once, the counter increases by 1</t>
  </si>
  <si>
    <t>Send a POST request to cart/add.js with a valid id and quantity</t>
  </si>
  <si>
    <t>Status code 200 OK or 201 Created, the JSON response contains confirmation of the addition.</t>
  </si>
  <si>
    <t>Send GET request to /cart</t>
  </si>
  <si>
    <t>Status code 200 OK, the JSON response contains confirmation that the cart is empty.</t>
  </si>
  <si>
    <t>1. Send a POST request to /cart/add.js with a valid id and quantity
2. Send a GET request to /cart</t>
  </si>
  <si>
    <t>Status code 200 OK, the JSON response contains confirmation of the addition.</t>
  </si>
  <si>
    <t>Send a POST request to /cart/change.js with a valid id and quantity</t>
  </si>
  <si>
    <t>Status code 200 OK, the JSON response contains confirmation of the deletion.</t>
  </si>
  <si>
    <t>Send a POST request to /cart/add.js with an invalid id</t>
  </si>
  <si>
    <t>Status code 422 Unprocessable Entity, product not added.</t>
  </si>
  <si>
    <t>Send a POST request to /cart/add.js with valid id and quantity for two products</t>
  </si>
  <si>
    <t>Send a POST request to /cart/change.js with quantity: 5 for an item already in the cart</t>
  </si>
  <si>
    <t>The server returns 200 OK, and the quantity in the product object is now 5.</t>
  </si>
  <si>
    <t>Send a POST request to /cart/change.js with quantity: -5 for an item already in the cart</t>
  </si>
  <si>
    <t>The server returns a 400 Bad Request or 422 Unprocessable Entity error, the number of items in the cart remains unchanged</t>
  </si>
  <si>
    <t>Testing cart stability during expected user volume</t>
  </si>
  <si>
    <t>Emulate the simultaneous addition of goods to the cart by 50 users in 30 seconds</t>
  </si>
  <si>
    <t>The response time of the server (Response Time) does not exceed 2 seconds, there are no 500 or 504 errors.</t>
  </si>
  <si>
    <t>Emulate the simultaneous addition of goods to the cart by 2000 users in 30 seconds</t>
  </si>
  <si>
    <t>The system correctly processes the queue, and when it fails, it returns a clear error page (e.g. 503 Service Unavailable).</t>
  </si>
  <si>
    <t>Precondition: Go to the website: https://sauce-demo.myshopify.com</t>
  </si>
  <si>
    <t>Click on the "Add to cart" button</t>
  </si>
  <si>
    <t>Click on the "Check Out" button</t>
  </si>
  <si>
    <t>The page opens, the product is displayed correctly</t>
  </si>
  <si>
    <t>The product is added to the cart, the cart counter has increased by 1</t>
  </si>
  <si>
    <t>Successfully navigated to the cart page. The product is displayed correctly.</t>
  </si>
  <si>
    <t>Navigate to the shopping cart page</t>
  </si>
  <si>
    <t>Navigate to the cart page without the product</t>
  </si>
  <si>
    <t>Navigate to the order placement page</t>
  </si>
  <si>
    <t>Navigate to the product page "Grey Jacket"</t>
  </si>
  <si>
    <t>Precondition:
1. Navigate to the website: https://sauce-demo.myshopify.com
2. The product (https://sauce-demo.myshopify.com/collections/frontpage/products/grey-jacket) is added to the cart.</t>
  </si>
  <si>
    <t>Click on the "x" button opposite the product</t>
  </si>
  <si>
    <t>Successfully navigated to the cart page</t>
  </si>
  <si>
    <t>Product deleted deleted. Cart is empty.</t>
  </si>
  <si>
    <t>TS-05. Open drop-down cart after adding product to cart</t>
  </si>
  <si>
    <t>Click on the cart icon in the upper right corner (My Cart)</t>
  </si>
  <si>
    <t>The product is displayed in the drop-down cart. The product photo, price and quantity are displayed correctly.</t>
  </si>
  <si>
    <t>"Precondition:
1. Navigate to the site: https://sauce-demo.myshopify.com
2. Product(https://sauce-demo.myshopify.com/collections/frontpage/products/grey-jacket) added to cart."
3. Count of products in cart: 1.</t>
  </si>
  <si>
    <t>Enter a negative number in the quantity field in the drop-down cart</t>
  </si>
  <si>
    <t>An input error message is displayed.</t>
  </si>
  <si>
    <t>The product quantity field displays a negative number "-5". The system allows you to enter negative numbers, but this does not affect the final order amount</t>
  </si>
  <si>
    <t>Click on the "Check Out" button in the drop-down cart</t>
  </si>
  <si>
    <t>Successfully navigated to the cart page. Count of products in cart - 1</t>
  </si>
  <si>
    <t>Enter a letter in the quantity field in the drop-down cart</t>
  </si>
  <si>
    <t>The product quantity field displays a negative number "а". The system allows you to enter negative numbers, but this does not affect the final order amount</t>
  </si>
  <si>
    <t>The button becomes inactive after the first click</t>
  </si>
  <si>
    <t>There is 1 item in the cart.</t>
  </si>
  <si>
    <t>Check the status of requests in the Network tab</t>
  </si>
  <si>
    <t>All requests (except the first one) are ignored/blocked</t>
  </si>
  <si>
    <t>In the URL field, enter the site API</t>
  </si>
  <si>
    <t>The site's API is entered in the URL field</t>
  </si>
  <si>
    <t>Successfully navigated to the Body tab</t>
  </si>
  <si>
    <t>Select the form-data format</t>
  </si>
  <si>
    <t>The Key, Value, Description fields appeared on the Body tab</t>
  </si>
  <si>
    <t>Add a field for the product ID to the Key column</t>
  </si>
  <si>
    <t>Add the product ID value to the Value column.</t>
  </si>
  <si>
    <t>ID value entered</t>
  </si>
  <si>
    <t>Add a field for the quantity of the product to the Key column</t>
  </si>
  <si>
    <t>Enter the quantity of the product in the Value column.</t>
  </si>
  <si>
    <t>Quantity value entered</t>
  </si>
  <si>
    <t>Click the "Send" button.</t>
  </si>
  <si>
    <t>Request sent to server</t>
  </si>
  <si>
    <t>View the response in the Response window</t>
  </si>
  <si>
    <t>Server response received</t>
  </si>
  <si>
    <t>Check status and response body</t>
  </si>
  <si>
    <t>Status Code: 200 OK. The response body displays data about the added product</t>
  </si>
  <si>
    <t>Precondition:
1. Open Postman
2. Cart must be empty
3. Create a new request
4. Select GET method</t>
  </si>
  <si>
    <t>Status Code: 200 OK. The response body displays data about the contents of the cart</t>
  </si>
  <si>
    <t>Precondition:
1. Open Postman
2. Test case TS-API-20 is executed (product successfully added to cart).
3. Create a new request
4. Select GET method</t>
  </si>
  <si>
    <t>Precondition:
1. Open Postman
2. Test case TS-API-20 is executed (product successfully added to cart).
3. Create a new request
4. Select POST method</t>
  </si>
  <si>
    <t>Add a field to the Key column for the index of the item position in the cart</t>
  </si>
  <si>
    <t>Add the index value of the product position in the cart to the Value column</t>
  </si>
  <si>
    <t>Status Code: 200 OK. The response body displays data about the deleted product</t>
  </si>
  <si>
    <t>Navigate to the Body tab from the options panel</t>
  </si>
  <si>
    <t>Precondition:
1. Open Postman
2. Create a new request
3. Select POST method</t>
  </si>
  <si>
    <t>Status Code: 422 Unprocessable Entity. The response body displays data that such a product does not exist</t>
  </si>
  <si>
    <t>TS-LT-29. Testing cart stability during expected user volume</t>
  </si>
  <si>
    <t>Precondition:
1. Open JMeter
2. Create a Thread Group named "TS-LT-29"
3. Add HTTP Request to Thread Group
4. Add Uniform Random Timer to Thread Group
5. Add View Result Tree to Thread Group
6. Add CSV Data Set Config to Thread Group
7. Add User Defined Variables to Thread Group</t>
  </si>
  <si>
    <t>Configure Thread Group</t>
  </si>
  <si>
    <t>Add a file with the .csv extension to CSV Data Set Config</t>
  </si>
  <si>
    <t>File test_data.csv with a list of current product IDs and their quantity</t>
  </si>
  <si>
    <t>A file with a list of products has been added to the CSV Data Set Config</t>
  </si>
  <si>
    <t>In CSV Data Set Config, in the Variable Names (comma-delimited) field, add the variable names separated by commas.</t>
  </si>
  <si>
    <t>Variable names have been added to CSV Data Set Config. CSV Data Set Config setup complete</t>
  </si>
  <si>
    <t>In User Defined Variables, add two parameters to the Name field</t>
  </si>
  <si>
    <t>In User Defined Variables, two parameters have been added to the Name field</t>
  </si>
  <si>
    <t>In User Defined Variables, add two parameters to the Value field</t>
  </si>
  <si>
    <t>Two parameters have been added to the Value field in User Defined Variables. User Defined Variables setup complete</t>
  </si>
  <si>
    <t>Configure Uniform Random Timer</t>
  </si>
  <si>
    <t>The timer is used to simulate the behavior of real people</t>
  </si>
  <si>
    <t>Configure HTTP Request</t>
  </si>
  <si>
    <t>In the HTTP Request, add two parameters to the Name field</t>
  </si>
  <si>
    <t>Two parameters have been added to the Name field in the HTTP Request</t>
  </si>
  <si>
    <t>In the HTTP Request, add two parameters to the Value field</t>
  </si>
  <si>
    <t>Two parameters have been added to the Value field in the HTTP Request.</t>
  </si>
  <si>
    <t>In the HTTP Request, specify the value in Content-Type for both parameters</t>
  </si>
  <si>
    <t>HTTP Request setup complete</t>
  </si>
  <si>
    <t>HTTP Request setup begins</t>
  </si>
  <si>
    <t>Thread Group setup complete</t>
  </si>
  <si>
    <t>Uniform Random Timer setup complete</t>
  </si>
  <si>
    <t>Add Summary Report to Thread Group</t>
  </si>
  <si>
    <t>Added Summary Report for analyzing results</t>
  </si>
  <si>
    <t>Press the Start button</t>
  </si>
  <si>
    <t>Running the test</t>
  </si>
  <si>
    <t>View the answer in View Result Tree</t>
  </si>
  <si>
    <t>Successful requests return a status of 200 OK. When the limit of requests per unit of time is reached, statuses 422 (business logic error) and 429 (load protection mechanism triggered) are allowed.</t>
  </si>
  <si>
    <t>Collect metrics in a Summary Report</t>
  </si>
  <si>
    <t>Displayed: Samples, Average, Error %, Throughput.</t>
  </si>
  <si>
    <t>Form a final conclusion</t>
  </si>
  <si>
    <t>Results analyzed: point of failure identified (Rate Limiting 429).</t>
  </si>
  <si>
    <t>If Error % exceeds 50% with a load below 10 users, consider the test failed.</t>
  </si>
  <si>
    <t>Status dashboard</t>
  </si>
  <si>
    <t>Verification area</t>
  </si>
  <si>
    <t>Test case link</t>
  </si>
  <si>
    <t>Comment</t>
  </si>
  <si>
    <t>Title/Short description</t>
  </si>
  <si>
    <t>Bug_03
Test passed successfully after correcting CSV file configuration</t>
  </si>
  <si>
    <t>When you open the drop-down cart immediately after adding any product, the product is added to the cart, but the drop-down cart is loading forever.</t>
  </si>
  <si>
    <t>Navigate to the site: https://sauce-demo.myshopify.com</t>
  </si>
  <si>
    <t>Precondition: Navigate to the website: https://sauce-demo.myshopify.com</t>
  </si>
  <si>
    <t>1. Navigate to the product page (https://sauce-demo.myshopify.com/collections/frontpage/products/grey-jacket)
2. Click the "Add to Cart" button
3. Open the drop-down cart</t>
  </si>
  <si>
    <t>After adding the product to the cart, the product is displayed in the drop-down cart.</t>
  </si>
  <si>
    <t>If you refresh the page after adding the product to the cart, the product will be displayed in the drop-down cart.</t>
  </si>
  <si>
    <t>5 out of 5</t>
  </si>
  <si>
    <t>3 out of 5</t>
  </si>
  <si>
    <r>
      <t xml:space="preserve">Video of the eternal loading: </t>
    </r>
    <r>
      <rPr>
        <sz val="14"/>
        <color theme="1"/>
        <rFont val="Times New Roman"/>
        <family val="1"/>
        <charset val="204"/>
      </rPr>
      <t>https://surl.li/wzjmhz</t>
    </r>
  </si>
  <si>
    <t>Remove a single item from the drop-down cart</t>
  </si>
  <si>
    <t>Remove a single item from the cart</t>
  </si>
  <si>
    <t>Add multiple items to the cart</t>
  </si>
  <si>
    <t>Remove multiple items from the drop-down cart</t>
  </si>
  <si>
    <t>Remove multiple items from the cart</t>
  </si>
  <si>
    <t>Update the quantity of the product in the drop-down cart by entering a valid number</t>
  </si>
  <si>
    <t>Update the quantity of the product in the drop-down cart by entering a negative number</t>
  </si>
  <si>
    <t>Update the quantity of the product in the drop-down cart by entering a letter</t>
  </si>
  <si>
    <t>Update the quantity of goods in the drop-down cart by entering a special character</t>
  </si>
  <si>
    <t>Update the quantity of the product in the drop-down cart by entering zero</t>
  </si>
  <si>
    <t>Update the quantity of goods in the drop-down cart by entering a large number</t>
  </si>
  <si>
    <t>Perform rapid clicks on the "Add to cart" button</t>
  </si>
  <si>
    <t>Verify cart contents before adding a product</t>
  </si>
  <si>
    <t>Verify cart contents after adding a product</t>
  </si>
  <si>
    <t>Clear cart contents via POST request</t>
  </si>
  <si>
    <t>Add a product with a invalid ID via API</t>
  </si>
  <si>
    <t>Add multiple product with an valid ID via API</t>
  </si>
  <si>
    <t>Remove an item from the cart via POST request</t>
  </si>
  <si>
    <t>Update the quantity of a product via a POST request to a valid value</t>
  </si>
  <si>
    <t>Update the quantity of a product via a POST request to a negative value</t>
  </si>
  <si>
    <t>Test cart stability during expected user volume</t>
  </si>
  <si>
    <t>Check the behavior of the cart at a critical peak</t>
  </si>
  <si>
    <t>Add a single item to the cart</t>
  </si>
  <si>
    <t>TS-01. Add a single item to the cart</t>
  </si>
  <si>
    <t>TS-03. Remove a single item from the cart</t>
  </si>
  <si>
    <t>TS-14. Update the quantity of the product in the drop-down cart by entering a negative number</t>
  </si>
  <si>
    <t>TS-15. Update the quantity of the product in the drop-down cart by entering a letter</t>
  </si>
  <si>
    <t>TS-19. Perform rapid clicks on the "Add to cart" button</t>
  </si>
  <si>
    <t>Add a single product via POST request</t>
  </si>
  <si>
    <t>TS-API-20. Add a single product via POST request</t>
  </si>
  <si>
    <t>TS-API-21. Verify cart contents before adding a product</t>
  </si>
  <si>
    <t>TS-API-22. Verify cart contents after adding a product</t>
  </si>
  <si>
    <t>TS-API-23. Clear cart contents via POST request</t>
  </si>
  <si>
    <t>TS-API-24. Add a product with a invalid ID via API</t>
  </si>
  <si>
    <t>TS-API-25. Add multiple product with an valid ID via API</t>
  </si>
  <si>
    <t>1. Navigate to the product page (https://sauce-demo.myshopify.com/collections/frontpage/products/grey-jacket)
2. Click the "Add to Cart" button 10 times</t>
  </si>
  <si>
    <t>1 item added to cart</t>
  </si>
  <si>
    <t>During rapid clicks (10 times) in the Network Tab, a large number of simultaneous requests (add.js, cart.js) are observed, which leads to blocking of UI updates and request conflicts. Also, blocking of 'metrics' requests by browser extensions (ERR_BLOCKED_BY_CLIENT) has been recorded, which may affect the stability of scripts.</t>
  </si>
  <si>
    <t>Open the JMeter program</t>
  </si>
  <si>
    <t>Error rate below 50%</t>
  </si>
  <si>
    <t>1. A configuration error was detected in the CSV file (headers were treated as data).
2. After removing the headers, the error rate decreased to 40%.
3. The test is stable under the current load (10 users / 30 sec).
A request rate limit was detected (HTTP 429 Too Many Requests). The server processes requests quickly (90-147 ms), but the DDoS or heavy traffic protection mechanism is activated, which leads to a rejection of 40% of requests under a load of 10 users.</t>
  </si>
  <si>
    <r>
      <t xml:space="preserve">Error playback video: </t>
    </r>
    <r>
      <rPr>
        <sz val="14"/>
        <color theme="1"/>
        <rFont val="Times New Roman"/>
        <family val="1"/>
        <charset val="204"/>
      </rPr>
      <t>https://surl.li/fugzqf</t>
    </r>
    <r>
      <rPr>
        <b/>
        <sz val="14"/>
        <color theme="1"/>
        <rFont val="Times New Roman"/>
        <family val="1"/>
        <charset val="204"/>
      </rPr>
      <t xml:space="preserve">
Network log: </t>
    </r>
    <r>
      <rPr>
        <sz val="14"/>
        <color theme="1"/>
        <rFont val="Times New Roman"/>
        <family val="1"/>
        <charset val="204"/>
      </rPr>
      <t>https://surl.li/awzubc</t>
    </r>
  </si>
  <si>
    <r>
      <t xml:space="preserve">CSV file: </t>
    </r>
    <r>
      <rPr>
        <sz val="14"/>
        <color theme="1"/>
        <rFont val="Times New Roman"/>
        <family val="1"/>
        <charset val="204"/>
      </rPr>
      <t xml:space="preserve">https://surl.li/tryynk
</t>
    </r>
    <r>
      <rPr>
        <b/>
        <sz val="14"/>
        <color theme="1"/>
        <rFont val="Times New Roman"/>
        <family val="1"/>
        <charset val="204"/>
      </rPr>
      <t xml:space="preserve">
Thread Group: </t>
    </r>
    <r>
      <rPr>
        <sz val="14"/>
        <color theme="1"/>
        <rFont val="Times New Roman"/>
        <family val="1"/>
        <charset val="204"/>
      </rPr>
      <t>https://surl.li/uzixeo</t>
    </r>
    <r>
      <rPr>
        <b/>
        <sz val="14"/>
        <color theme="1"/>
        <rFont val="Times New Roman"/>
        <family val="1"/>
        <charset val="204"/>
      </rPr>
      <t xml:space="preserve">
Summary Report: </t>
    </r>
    <r>
      <rPr>
        <sz val="14"/>
        <color theme="1"/>
        <rFont val="Times New Roman"/>
        <family val="1"/>
        <charset val="204"/>
      </rPr>
      <t>https://surl.li/xthhdk</t>
    </r>
    <r>
      <rPr>
        <b/>
        <sz val="14"/>
        <color theme="1"/>
        <rFont val="Times New Roman"/>
        <family val="1"/>
        <charset val="204"/>
      </rPr>
      <t xml:space="preserve">
View Result Tree: https://surl.li/zhomtw</t>
    </r>
  </si>
  <si>
    <t>When changing the quantity of the product to 99999999, the site gives the error "Something went wrong."</t>
  </si>
  <si>
    <t>1. Navigate to the product page (https://sauce-demo.myshopify.com/collections/frontpage/products/grey-jacket)
2. Click the "Add to Cart" button
3. Refresh the page.
4. Open the drop-down cart
5. In the product quantity field, enter the number "99999999"
6. Click the "Check Out" button in the drop-down cart</t>
  </si>
  <si>
    <t>The site gives the error "Something went wrong."</t>
  </si>
  <si>
    <r>
      <rPr>
        <b/>
        <sz val="14"/>
        <color theme="1"/>
        <rFont val="Times New Roman"/>
        <family val="1"/>
        <charset val="204"/>
      </rPr>
      <t>Error playback video:</t>
    </r>
    <r>
      <rPr>
        <sz val="14"/>
        <color theme="1"/>
        <rFont val="Times New Roman"/>
        <family val="1"/>
        <charset val="204"/>
      </rPr>
      <t xml:space="preserve"> https://surli.cc/csupjz
N</t>
    </r>
    <r>
      <rPr>
        <b/>
        <sz val="14"/>
        <color theme="1"/>
        <rFont val="Times New Roman"/>
        <family val="1"/>
        <charset val="204"/>
      </rPr>
      <t>etwork log:</t>
    </r>
    <r>
      <rPr>
        <sz val="14"/>
        <color theme="1"/>
        <rFont val="Times New Roman"/>
        <family val="1"/>
        <charset val="204"/>
      </rPr>
      <t xml:space="preserve"> https://surl.li/uqyyyo</t>
    </r>
  </si>
  <si>
    <t>Entering an excessive value (99999999) results in a "Cart Error" instead of validation. The request ends with a status error (Network Tab).
Impact: Loss of cart session, forced return to home.
Recommendation: Add input validation and correct error handling on the server.</t>
  </si>
  <si>
    <t>1. Download Thread Group named "TS-LT-29" from the Attachments link
2. Add Thread Group to JMeter program
3. Download CSV file from the Attachments link
4. Add CSV file to CSV Data Set Config
5. Open View Result Tree
6. Run test</t>
  </si>
  <si>
    <t>1. Scroll down the site to the footer
2. Pay attention to the inscription "Footer"</t>
  </si>
  <si>
    <r>
      <rPr>
        <b/>
        <sz val="14"/>
        <color theme="1"/>
        <rFont val="Times New Roman"/>
        <family val="1"/>
        <charset val="204"/>
      </rPr>
      <t>Screenshot of the text:</t>
    </r>
    <r>
      <rPr>
        <sz val="14"/>
        <color theme="1"/>
        <rFont val="Times New Roman"/>
        <family val="1"/>
        <charset val="204"/>
      </rPr>
      <t xml:space="preserve"> https://surl.li/cbcwmd</t>
    </r>
  </si>
  <si>
    <t>Verify cart count</t>
  </si>
  <si>
    <t>10 clicks</t>
  </si>
  <si>
    <t>Field is added to the form-data</t>
  </si>
  <si>
    <t>Infinite loading when opening the drop-down cart immediately after adding an item to the cart</t>
  </si>
  <si>
    <t>Stuck in an infinite loading state</t>
  </si>
  <si>
    <t>Race condition: multiple items added to cart on rapid button clicks</t>
  </si>
  <si>
    <t>Rapidly clicking the 'Add to Cart' button results in multiple products being added to the cart, instead of a single item.</t>
  </si>
  <si>
    <t>Multiple items (0–3) are added to the cart instead of one.</t>
  </si>
  <si>
    <t>High error rate under load: 429 Too Many Requests observed</t>
  </si>
  <si>
    <t>Error rate 60% (HTTP 429).</t>
  </si>
  <si>
    <t>System exhibits 60% error rate under low load (10 users / 30s) due to aggressive rate limiting.</t>
  </si>
  <si>
    <t>Unhandled exception on extreme quantity input: leads to session loss</t>
  </si>
  <si>
    <t>The site should automatically change 99999999 to the maximum available number. The system should validate the input against stock availability and show a user-friendly error message, rather than crashing the session.</t>
  </si>
  <si>
    <t>UI/Cosmetic: Hardcoded placeholder text "Footer" is visible on the page</t>
  </si>
  <si>
    <t>Unnecessary technical placeholder text "Footer" is displayed at the bottom of the homepage, indicating uncleaned code.</t>
  </si>
  <si>
    <t>The placeholder text should be hidden or removed from the production build.</t>
  </si>
  <si>
    <t>The raw text "Footer" is prominently displayed on the page.</t>
  </si>
  <si>
    <t>Root cause: Inspected via DevTools; an unremoved &lt;h2&gt;Footer&lt;/h2&gt; tag is present in the DOM.</t>
  </si>
  <si>
    <r>
      <rPr>
        <b/>
        <sz val="14"/>
        <color theme="1"/>
        <rFont val="Times New Roman"/>
        <family val="1"/>
        <charset val="204"/>
      </rPr>
      <t xml:space="preserve">OS: </t>
    </r>
    <r>
      <rPr>
        <sz val="14"/>
        <color theme="1"/>
        <rFont val="Times New Roman"/>
        <family val="1"/>
        <charset val="204"/>
      </rPr>
      <t xml:space="preserve">Windows 10
</t>
    </r>
    <r>
      <rPr>
        <b/>
        <sz val="14"/>
        <color theme="1"/>
        <rFont val="Times New Roman"/>
        <family val="1"/>
        <charset val="204"/>
      </rPr>
      <t>Browser:</t>
    </r>
    <r>
      <rPr>
        <sz val="14"/>
        <color theme="1"/>
        <rFont val="Times New Roman"/>
        <family val="1"/>
        <charset val="204"/>
      </rPr>
      <t xml:space="preserve"> Google Chrome 149.0.7827.103, Opera GX 132.0.5905.43
</t>
    </r>
    <r>
      <rPr>
        <b/>
        <sz val="14"/>
        <color theme="1"/>
        <rFont val="Times New Roman"/>
        <family val="1"/>
        <charset val="204"/>
      </rPr>
      <t>Resolution:</t>
    </r>
    <r>
      <rPr>
        <sz val="14"/>
        <color theme="1"/>
        <rFont val="Times New Roman"/>
        <family val="1"/>
        <charset val="204"/>
      </rPr>
      <t xml:space="preserve"> 1920x1200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</si>
</sst>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4"/>
      <color theme="1"/>
      <name val="Times New Roman"/>
      <family val="1"/>
      <charset val="204"/>
    </font>
    <font>
      <b/>
      <sz val="14"/>
      <color theme="1"/>
      <name val="Times New Roman"/>
      <family val="1"/>
      <charset val="204"/>
    </font>
    <font>
      <sz val="8"/>
      <name val="Calibri"/>
      <family val="2"/>
      <scheme val="minor"/>
    </font>
    <font>
      <u/>
      <sz val="11"/>
      <color theme="10"/>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51">
    <xf numFmtId="0" fontId="0" fillId="0" borderId="0" xfId="0"/>
    <xf numFmtId="0" fontId="2"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1" fillId="0" borderId="0" xfId="0" applyFont="1" applyAlignment="1">
      <alignment vertical="top" wrapText="1"/>
    </xf>
    <xf numFmtId="0" fontId="2" fillId="0" borderId="2" xfId="0" applyFont="1" applyBorder="1" applyAlignment="1">
      <alignment horizontal="center" vertical="center" wrapText="1"/>
    </xf>
    <xf numFmtId="0" fontId="1" fillId="0" borderId="2" xfId="0" applyFont="1" applyBorder="1" applyAlignment="1">
      <alignment horizontal="center" vertical="center" wrapText="1"/>
    </xf>
    <xf numFmtId="0" fontId="1" fillId="0" borderId="0" xfId="0" applyFont="1"/>
    <xf numFmtId="0" fontId="1" fillId="0" borderId="0" xfId="0" applyFont="1" applyAlignment="1">
      <alignment wrapText="1"/>
    </xf>
    <xf numFmtId="0" fontId="1" fillId="0" borderId="0" xfId="0" applyFont="1" applyAlignment="1">
      <alignment horizontal="center" vertical="center"/>
    </xf>
    <xf numFmtId="0" fontId="1" fillId="0" borderId="1" xfId="0" applyFont="1" applyBorder="1" applyAlignment="1">
      <alignment horizontal="center" vertical="center"/>
    </xf>
    <xf numFmtId="0" fontId="4" fillId="0" borderId="1" xfId="1" applyBorder="1" applyAlignment="1">
      <alignment vertical="center" wrapText="1"/>
    </xf>
    <xf numFmtId="0" fontId="1" fillId="0" borderId="1" xfId="0" applyFont="1" applyBorder="1" applyAlignment="1">
      <alignment wrapText="1"/>
    </xf>
    <xf numFmtId="0" fontId="4" fillId="0" borderId="1" xfId="1" applyBorder="1" applyAlignment="1">
      <alignment wrapText="1"/>
    </xf>
    <xf numFmtId="0" fontId="1" fillId="0" borderId="1" xfId="0" applyFont="1" applyBorder="1" applyAlignment="1">
      <alignment horizontal="left" vertical="center" wrapText="1"/>
    </xf>
    <xf numFmtId="0" fontId="1" fillId="0" borderId="1" xfId="0" applyFont="1" applyBorder="1" applyAlignment="1">
      <alignment horizontal="left" vertical="center" wrapText="1"/>
    </xf>
    <xf numFmtId="0" fontId="1" fillId="0" borderId="0" xfId="0" applyFont="1" applyBorder="1" applyAlignment="1">
      <alignment horizontal="center" vertical="center"/>
    </xf>
    <xf numFmtId="0" fontId="1" fillId="0" borderId="0" xfId="0" applyFont="1" applyBorder="1" applyAlignment="1">
      <alignment vertical="center" wrapText="1"/>
    </xf>
    <xf numFmtId="0" fontId="1" fillId="0" borderId="0" xfId="0" applyFont="1" applyBorder="1" applyAlignment="1">
      <alignment wrapText="1"/>
    </xf>
    <xf numFmtId="0" fontId="1" fillId="0" borderId="0" xfId="0" applyFont="1" applyAlignment="1">
      <alignment horizontal="center" vertical="center" wrapText="1"/>
    </xf>
    <xf numFmtId="0" fontId="1" fillId="0" borderId="0" xfId="0" applyFont="1" applyAlignment="1">
      <alignment horizontal="left" vertical="center" wrapText="1"/>
    </xf>
    <xf numFmtId="0" fontId="4" fillId="0" borderId="1" xfId="1" applyBorder="1" applyAlignment="1">
      <alignment horizontal="left" vertical="center" wrapText="1"/>
    </xf>
    <xf numFmtId="0" fontId="1" fillId="0" borderId="1" xfId="0" applyFont="1" applyBorder="1" applyAlignment="1">
      <alignment vertical="center"/>
    </xf>
    <xf numFmtId="0" fontId="1" fillId="0" borderId="1" xfId="0" applyFont="1" applyBorder="1" applyAlignment="1">
      <alignment horizontal="left" vertical="top" wrapText="1"/>
    </xf>
    <xf numFmtId="0" fontId="1" fillId="0" borderId="1" xfId="0" applyFont="1" applyBorder="1" applyAlignment="1">
      <alignment horizontal="center"/>
    </xf>
    <xf numFmtId="0" fontId="1" fillId="0" borderId="1" xfId="0" applyFont="1" applyBorder="1" applyAlignment="1">
      <alignment horizontal="left" vertical="center" wrapText="1"/>
    </xf>
    <xf numFmtId="0" fontId="1" fillId="0" borderId="1" xfId="0" applyFont="1" applyBorder="1"/>
    <xf numFmtId="0" fontId="2" fillId="0" borderId="1" xfId="0" applyFont="1" applyBorder="1"/>
    <xf numFmtId="0" fontId="4" fillId="0" borderId="0" xfId="1" applyBorder="1" applyAlignment="1">
      <alignment vertical="center" wrapText="1"/>
    </xf>
    <xf numFmtId="0" fontId="1" fillId="0" borderId="1" xfId="0" applyFont="1" applyBorder="1" applyAlignment="1">
      <alignment horizontal="left" vertical="center" wrapText="1"/>
    </xf>
    <xf numFmtId="0" fontId="1" fillId="0" borderId="1" xfId="0" applyFont="1" applyBorder="1" applyAlignment="1">
      <alignment horizontal="left" vertical="center" wrapText="1"/>
    </xf>
    <xf numFmtId="0" fontId="2" fillId="0" borderId="0" xfId="0" applyFont="1" applyAlignment="1">
      <alignment horizontal="center" vertical="center" wrapText="1"/>
    </xf>
    <xf numFmtId="16" fontId="1" fillId="0" borderId="1" xfId="0" applyNumberFormat="1"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left" wrapText="1"/>
    </xf>
    <xf numFmtId="0" fontId="1" fillId="0" borderId="1" xfId="0" applyFont="1" applyBorder="1" applyAlignment="1">
      <alignment horizontal="left" vertical="center" wrapText="1"/>
    </xf>
    <xf numFmtId="0" fontId="1" fillId="0" borderId="0" xfId="0" applyFont="1" applyAlignment="1">
      <alignment vertical="center" wrapText="1"/>
    </xf>
    <xf numFmtId="0" fontId="2" fillId="0" borderId="1" xfId="0" applyFont="1" applyBorder="1" applyAlignment="1">
      <alignment horizontal="center"/>
    </xf>
    <xf numFmtId="0" fontId="2" fillId="0" borderId="1" xfId="0" applyFont="1" applyBorder="1" applyAlignment="1">
      <alignment horizontal="center" wrapText="1"/>
    </xf>
    <xf numFmtId="0" fontId="2" fillId="0" borderId="1" xfId="0" applyFont="1" applyBorder="1" applyAlignment="1">
      <alignment vertical="center" wrapText="1"/>
    </xf>
    <xf numFmtId="0" fontId="1" fillId="0" borderId="1" xfId="0" applyFont="1" applyBorder="1" applyAlignment="1">
      <alignment horizontal="center" wrapText="1"/>
    </xf>
    <xf numFmtId="0" fontId="1" fillId="0" borderId="1" xfId="0" applyFont="1" applyBorder="1" applyAlignment="1">
      <alignment horizontal="left" wrapText="1"/>
    </xf>
    <xf numFmtId="0" fontId="1" fillId="0" borderId="1" xfId="0" applyFont="1" applyBorder="1" applyAlignment="1">
      <alignment horizontal="center"/>
    </xf>
    <xf numFmtId="0" fontId="1" fillId="0" borderId="1" xfId="0" applyFont="1" applyBorder="1" applyAlignment="1">
      <alignment horizontal="left"/>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4" xfId="0" applyFont="1" applyBorder="1" applyAlignment="1">
      <alignment horizontal="left" vertical="center" wrapTex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1" xfId="0" applyFont="1" applyBorder="1" applyAlignment="1">
      <alignment horizontal="left" vertical="center" wrapText="1"/>
    </xf>
  </cellXfs>
  <cellStyles count="2">
    <cellStyle name="Гиперссылка" xfId="1" builtinId="8"/>
    <cellStyle name="Обычный" xfId="0" builtinId="0"/>
  </cellStyles>
  <dxfs count="7">
    <dxf>
      <font>
        <color rgb="FF9C5700"/>
      </font>
      <fill>
        <patternFill>
          <bgColor rgb="FFFFEB9C"/>
        </patternFill>
      </fill>
    </dxf>
    <dxf>
      <font>
        <color rgb="FF006100"/>
      </font>
      <fill>
        <patternFill>
          <bgColor rgb="FFC6EFCE"/>
        </patternFill>
      </fill>
    </dxf>
    <dxf>
      <fill>
        <patternFill>
          <bgColor theme="9"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https://sauce-demo.myshopify.com/collections/frontpage/products/grey-jacke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sauce-demo.myshopify.com/cart"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sauce-demo.myshopify.com/collections/frontpage/products/grey-jacke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sauce-demo.myshopify.com/cart/add.js"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sauce-demo.myshopify.com/cart.js"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sauce-demo.myshopify.com/cart.js"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sauce-demo.myshopify.com/cart/add.j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sauce-demo.myshopify.com/cart/add.js"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sauce-demo.myshopify.com/cart/add.js"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1"/>
  <dimension ref="A1:F31"/>
  <sheetViews>
    <sheetView zoomScaleNormal="100" workbookViewId="0">
      <selection activeCell="B26" sqref="B26"/>
    </sheetView>
  </sheetViews>
  <sheetFormatPr defaultRowHeight="18" x14ac:dyDescent="0.3"/>
  <cols>
    <col min="1" max="1" width="10.77734375" style="4" customWidth="1"/>
    <col min="2" max="2" width="47.109375" style="4" customWidth="1"/>
    <col min="3" max="3" width="22" style="4" customWidth="1"/>
    <col min="4" max="4" width="20.109375" style="4" customWidth="1"/>
    <col min="5" max="5" width="34.77734375" style="4" customWidth="1"/>
    <col min="6" max="6" width="34.109375" style="4" customWidth="1"/>
    <col min="7" max="16384" width="8.88671875" style="4"/>
  </cols>
  <sheetData>
    <row r="1" spans="1:6" x14ac:dyDescent="0.3">
      <c r="A1" s="1" t="s">
        <v>0</v>
      </c>
      <c r="B1" s="1" t="s">
        <v>1</v>
      </c>
      <c r="C1" s="1" t="s">
        <v>18</v>
      </c>
      <c r="D1" s="5" t="s">
        <v>19</v>
      </c>
      <c r="E1" s="1" t="s">
        <v>20</v>
      </c>
      <c r="F1" s="1" t="s">
        <v>26</v>
      </c>
    </row>
    <row r="2" spans="1:6" ht="36" x14ac:dyDescent="0.3">
      <c r="A2" s="3" t="s">
        <v>2</v>
      </c>
      <c r="B2" s="2" t="s">
        <v>302</v>
      </c>
      <c r="C2" s="3" t="s">
        <v>119</v>
      </c>
      <c r="D2" s="6" t="s">
        <v>22</v>
      </c>
      <c r="E2" s="2" t="s">
        <v>125</v>
      </c>
      <c r="F2" s="2" t="s">
        <v>126</v>
      </c>
    </row>
    <row r="3" spans="1:6" ht="72" x14ac:dyDescent="0.3">
      <c r="A3" s="3" t="s">
        <v>3</v>
      </c>
      <c r="B3" s="33" t="s">
        <v>280</v>
      </c>
      <c r="C3" s="3" t="s">
        <v>119</v>
      </c>
      <c r="D3" s="6" t="s">
        <v>22</v>
      </c>
      <c r="E3" s="2" t="s">
        <v>127</v>
      </c>
      <c r="F3" s="2" t="s">
        <v>128</v>
      </c>
    </row>
    <row r="4" spans="1:6" ht="90" x14ac:dyDescent="0.3">
      <c r="A4" s="3" t="s">
        <v>4</v>
      </c>
      <c r="B4" s="2" t="s">
        <v>281</v>
      </c>
      <c r="C4" s="3" t="s">
        <v>119</v>
      </c>
      <c r="D4" s="6" t="s">
        <v>22</v>
      </c>
      <c r="E4" s="2" t="s">
        <v>129</v>
      </c>
      <c r="F4" s="2" t="s">
        <v>128</v>
      </c>
    </row>
    <row r="5" spans="1:6" ht="54" x14ac:dyDescent="0.3">
      <c r="A5" s="3" t="s">
        <v>5</v>
      </c>
      <c r="B5" s="2" t="s">
        <v>130</v>
      </c>
      <c r="C5" s="3" t="s">
        <v>119</v>
      </c>
      <c r="D5" s="6" t="s">
        <v>23</v>
      </c>
      <c r="E5" s="2" t="s">
        <v>131</v>
      </c>
      <c r="F5" s="2" t="s">
        <v>132</v>
      </c>
    </row>
    <row r="6" spans="1:6" ht="54" x14ac:dyDescent="0.3">
      <c r="A6" s="3" t="s">
        <v>6</v>
      </c>
      <c r="B6" s="2" t="s">
        <v>133</v>
      </c>
      <c r="C6" s="3" t="s">
        <v>119</v>
      </c>
      <c r="D6" s="6" t="s">
        <v>23</v>
      </c>
      <c r="E6" s="2" t="s">
        <v>131</v>
      </c>
      <c r="F6" s="2" t="s">
        <v>134</v>
      </c>
    </row>
    <row r="7" spans="1:6" ht="54" x14ac:dyDescent="0.3">
      <c r="A7" s="3" t="s">
        <v>7</v>
      </c>
      <c r="B7" s="2" t="s">
        <v>135</v>
      </c>
      <c r="C7" s="3" t="s">
        <v>119</v>
      </c>
      <c r="D7" s="6" t="s">
        <v>23</v>
      </c>
      <c r="E7" s="2" t="s">
        <v>131</v>
      </c>
      <c r="F7" s="2" t="s">
        <v>134</v>
      </c>
    </row>
    <row r="8" spans="1:6" ht="54" x14ac:dyDescent="0.3">
      <c r="A8" s="3" t="s">
        <v>8</v>
      </c>
      <c r="B8" s="2" t="s">
        <v>282</v>
      </c>
      <c r="C8" s="3" t="s">
        <v>119</v>
      </c>
      <c r="D8" s="6" t="s">
        <v>22</v>
      </c>
      <c r="E8" s="2" t="s">
        <v>136</v>
      </c>
      <c r="F8" s="2" t="s">
        <v>138</v>
      </c>
    </row>
    <row r="9" spans="1:6" ht="36" x14ac:dyDescent="0.3">
      <c r="A9" s="3" t="s">
        <v>9</v>
      </c>
      <c r="B9" s="2" t="s">
        <v>283</v>
      </c>
      <c r="C9" s="3" t="s">
        <v>119</v>
      </c>
      <c r="D9" s="6" t="s">
        <v>22</v>
      </c>
      <c r="E9" s="2" t="s">
        <v>137</v>
      </c>
      <c r="F9" s="2" t="s">
        <v>139</v>
      </c>
    </row>
    <row r="10" spans="1:6" ht="36" x14ac:dyDescent="0.3">
      <c r="A10" s="3" t="s">
        <v>10</v>
      </c>
      <c r="B10" s="2" t="s">
        <v>284</v>
      </c>
      <c r="C10" s="3" t="s">
        <v>119</v>
      </c>
      <c r="D10" s="6" t="s">
        <v>22</v>
      </c>
      <c r="E10" s="2" t="s">
        <v>137</v>
      </c>
      <c r="F10" s="2" t="s">
        <v>139</v>
      </c>
    </row>
    <row r="11" spans="1:6" ht="72" x14ac:dyDescent="0.3">
      <c r="A11" s="3" t="s">
        <v>11</v>
      </c>
      <c r="B11" s="2" t="s">
        <v>180</v>
      </c>
      <c r="C11" s="3" t="s">
        <v>119</v>
      </c>
      <c r="D11" s="6" t="s">
        <v>23</v>
      </c>
      <c r="E11" s="2" t="s">
        <v>140</v>
      </c>
      <c r="F11" s="2" t="s">
        <v>141</v>
      </c>
    </row>
    <row r="12" spans="1:6" ht="72" x14ac:dyDescent="0.3">
      <c r="A12" s="3" t="s">
        <v>12</v>
      </c>
      <c r="B12" s="2" t="s">
        <v>181</v>
      </c>
      <c r="C12" s="3" t="s">
        <v>119</v>
      </c>
      <c r="D12" s="6" t="s">
        <v>23</v>
      </c>
      <c r="E12" s="2" t="s">
        <v>140</v>
      </c>
      <c r="F12" s="2" t="s">
        <v>141</v>
      </c>
    </row>
    <row r="13" spans="1:6" ht="36" x14ac:dyDescent="0.3">
      <c r="A13" s="3" t="s">
        <v>13</v>
      </c>
      <c r="B13" s="2" t="s">
        <v>182</v>
      </c>
      <c r="C13" s="3" t="s">
        <v>119</v>
      </c>
      <c r="D13" s="6" t="s">
        <v>22</v>
      </c>
      <c r="E13" s="2" t="s">
        <v>142</v>
      </c>
      <c r="F13" s="2" t="s">
        <v>143</v>
      </c>
    </row>
    <row r="14" spans="1:6" ht="90" x14ac:dyDescent="0.3">
      <c r="A14" s="3" t="s">
        <v>14</v>
      </c>
      <c r="B14" s="2" t="s">
        <v>285</v>
      </c>
      <c r="C14" s="3" t="s">
        <v>119</v>
      </c>
      <c r="D14" s="6" t="s">
        <v>22</v>
      </c>
      <c r="E14" s="2" t="s">
        <v>144</v>
      </c>
      <c r="F14" s="2" t="s">
        <v>145</v>
      </c>
    </row>
    <row r="15" spans="1:6" ht="108" x14ac:dyDescent="0.3">
      <c r="A15" s="3" t="s">
        <v>15</v>
      </c>
      <c r="B15" s="2" t="s">
        <v>286</v>
      </c>
      <c r="C15" s="3" t="s">
        <v>120</v>
      </c>
      <c r="D15" s="6" t="s">
        <v>22</v>
      </c>
      <c r="E15" s="2" t="s">
        <v>146</v>
      </c>
      <c r="F15" s="2" t="s">
        <v>147</v>
      </c>
    </row>
    <row r="16" spans="1:6" ht="90" x14ac:dyDescent="0.3">
      <c r="A16" s="3" t="s">
        <v>16</v>
      </c>
      <c r="B16" s="2" t="s">
        <v>287</v>
      </c>
      <c r="C16" s="3" t="s">
        <v>120</v>
      </c>
      <c r="D16" s="6" t="s">
        <v>22</v>
      </c>
      <c r="E16" s="2" t="s">
        <v>148</v>
      </c>
      <c r="F16" s="2" t="s">
        <v>147</v>
      </c>
    </row>
    <row r="17" spans="1:6" ht="108" x14ac:dyDescent="0.3">
      <c r="A17" s="3" t="s">
        <v>17</v>
      </c>
      <c r="B17" s="2" t="s">
        <v>288</v>
      </c>
      <c r="C17" s="3" t="s">
        <v>120</v>
      </c>
      <c r="D17" s="6" t="s">
        <v>22</v>
      </c>
      <c r="E17" s="2" t="s">
        <v>149</v>
      </c>
      <c r="F17" s="2" t="s">
        <v>147</v>
      </c>
    </row>
    <row r="18" spans="1:6" ht="90" x14ac:dyDescent="0.3">
      <c r="A18" s="3" t="s">
        <v>21</v>
      </c>
      <c r="B18" s="2" t="s">
        <v>289</v>
      </c>
      <c r="C18" s="3" t="s">
        <v>120</v>
      </c>
      <c r="D18" s="6" t="s">
        <v>22</v>
      </c>
      <c r="E18" s="2" t="s">
        <v>150</v>
      </c>
      <c r="F18" s="2" t="s">
        <v>147</v>
      </c>
    </row>
    <row r="19" spans="1:6" ht="108" x14ac:dyDescent="0.3">
      <c r="A19" s="3" t="s">
        <v>24</v>
      </c>
      <c r="B19" s="2" t="s">
        <v>290</v>
      </c>
      <c r="C19" s="3" t="s">
        <v>120</v>
      </c>
      <c r="D19" s="6" t="s">
        <v>22</v>
      </c>
      <c r="E19" s="2" t="s">
        <v>151</v>
      </c>
      <c r="F19" s="2" t="s">
        <v>147</v>
      </c>
    </row>
    <row r="20" spans="1:6" ht="54" x14ac:dyDescent="0.3">
      <c r="A20" s="3" t="s">
        <v>25</v>
      </c>
      <c r="B20" s="2" t="s">
        <v>291</v>
      </c>
      <c r="C20" s="3" t="s">
        <v>120</v>
      </c>
      <c r="D20" s="3" t="s">
        <v>23</v>
      </c>
      <c r="E20" s="2" t="s">
        <v>152</v>
      </c>
      <c r="F20" s="2" t="s">
        <v>153</v>
      </c>
    </row>
    <row r="21" spans="1:6" ht="72" x14ac:dyDescent="0.3">
      <c r="A21" s="3" t="s">
        <v>42</v>
      </c>
      <c r="B21" s="2" t="s">
        <v>308</v>
      </c>
      <c r="C21" s="3" t="s">
        <v>121</v>
      </c>
      <c r="D21" s="3" t="s">
        <v>22</v>
      </c>
      <c r="E21" s="2" t="s">
        <v>154</v>
      </c>
      <c r="F21" s="2" t="s">
        <v>155</v>
      </c>
    </row>
    <row r="22" spans="1:6" ht="72" x14ac:dyDescent="0.3">
      <c r="A22" s="3" t="s">
        <v>43</v>
      </c>
      <c r="B22" s="2" t="s">
        <v>292</v>
      </c>
      <c r="C22" s="3" t="s">
        <v>121</v>
      </c>
      <c r="D22" s="3" t="s">
        <v>22</v>
      </c>
      <c r="E22" s="2" t="s">
        <v>156</v>
      </c>
      <c r="F22" s="2" t="s">
        <v>157</v>
      </c>
    </row>
    <row r="23" spans="1:6" ht="72" x14ac:dyDescent="0.3">
      <c r="A23" s="3" t="s">
        <v>44</v>
      </c>
      <c r="B23" s="2" t="s">
        <v>293</v>
      </c>
      <c r="C23" s="3" t="s">
        <v>121</v>
      </c>
      <c r="D23" s="3" t="s">
        <v>22</v>
      </c>
      <c r="E23" s="2" t="s">
        <v>158</v>
      </c>
      <c r="F23" s="2" t="s">
        <v>159</v>
      </c>
    </row>
    <row r="24" spans="1:6" ht="54" x14ac:dyDescent="0.3">
      <c r="A24" s="3" t="s">
        <v>45</v>
      </c>
      <c r="B24" s="2" t="s">
        <v>294</v>
      </c>
      <c r="C24" s="3" t="s">
        <v>121</v>
      </c>
      <c r="D24" s="3" t="s">
        <v>22</v>
      </c>
      <c r="E24" s="2" t="s">
        <v>160</v>
      </c>
      <c r="F24" s="2" t="s">
        <v>161</v>
      </c>
    </row>
    <row r="25" spans="1:6" ht="36" x14ac:dyDescent="0.3">
      <c r="A25" s="3" t="s">
        <v>46</v>
      </c>
      <c r="B25" s="2" t="s">
        <v>295</v>
      </c>
      <c r="C25" s="3" t="s">
        <v>122</v>
      </c>
      <c r="D25" s="3" t="s">
        <v>22</v>
      </c>
      <c r="E25" s="2" t="s">
        <v>162</v>
      </c>
      <c r="F25" s="2" t="s">
        <v>163</v>
      </c>
    </row>
    <row r="26" spans="1:6" ht="72" x14ac:dyDescent="0.3">
      <c r="A26" s="3" t="s">
        <v>47</v>
      </c>
      <c r="B26" s="36" t="s">
        <v>296</v>
      </c>
      <c r="C26" s="3" t="s">
        <v>121</v>
      </c>
      <c r="D26" s="3" t="s">
        <v>22</v>
      </c>
      <c r="E26" s="2" t="s">
        <v>164</v>
      </c>
      <c r="F26" s="2" t="s">
        <v>155</v>
      </c>
    </row>
    <row r="27" spans="1:6" ht="54" x14ac:dyDescent="0.3">
      <c r="A27" s="3" t="s">
        <v>48</v>
      </c>
      <c r="B27" s="2" t="s">
        <v>297</v>
      </c>
      <c r="C27" s="3" t="s">
        <v>121</v>
      </c>
      <c r="D27" s="3" t="s">
        <v>22</v>
      </c>
      <c r="E27" s="2" t="s">
        <v>160</v>
      </c>
      <c r="F27" s="2" t="s">
        <v>161</v>
      </c>
    </row>
    <row r="28" spans="1:6" ht="54" x14ac:dyDescent="0.3">
      <c r="A28" s="3" t="s">
        <v>49</v>
      </c>
      <c r="B28" s="2" t="s">
        <v>298</v>
      </c>
      <c r="C28" s="3" t="s">
        <v>121</v>
      </c>
      <c r="D28" s="3" t="s">
        <v>22</v>
      </c>
      <c r="E28" s="2" t="s">
        <v>165</v>
      </c>
      <c r="F28" s="2" t="s">
        <v>166</v>
      </c>
    </row>
    <row r="29" spans="1:6" ht="90" x14ac:dyDescent="0.3">
      <c r="A29" s="3" t="s">
        <v>50</v>
      </c>
      <c r="B29" s="2" t="s">
        <v>299</v>
      </c>
      <c r="C29" s="3" t="s">
        <v>122</v>
      </c>
      <c r="D29" s="3" t="s">
        <v>22</v>
      </c>
      <c r="E29" s="2" t="s">
        <v>167</v>
      </c>
      <c r="F29" s="2" t="s">
        <v>168</v>
      </c>
    </row>
    <row r="30" spans="1:6" ht="72" x14ac:dyDescent="0.3">
      <c r="A30" s="3" t="s">
        <v>51</v>
      </c>
      <c r="B30" s="2" t="s">
        <v>300</v>
      </c>
      <c r="C30" s="3" t="s">
        <v>123</v>
      </c>
      <c r="D30" s="3" t="s">
        <v>22</v>
      </c>
      <c r="E30" s="2" t="s">
        <v>170</v>
      </c>
      <c r="F30" s="2" t="s">
        <v>171</v>
      </c>
    </row>
    <row r="31" spans="1:6" ht="72" x14ac:dyDescent="0.3">
      <c r="A31" s="3" t="s">
        <v>52</v>
      </c>
      <c r="B31" s="2" t="s">
        <v>301</v>
      </c>
      <c r="C31" s="3" t="s">
        <v>124</v>
      </c>
      <c r="D31" s="3" t="s">
        <v>23</v>
      </c>
      <c r="E31" s="2" t="s">
        <v>172</v>
      </c>
      <c r="F31" s="2" t="s">
        <v>173</v>
      </c>
    </row>
  </sheetData>
  <phoneticPr fontId="3" type="noConversion"/>
  <pageMargins left="0.7" right="0.7" top="0.75" bottom="0.75" header="0.3" footer="0.3"/>
  <pageSetup paperSize="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936CE3-E2CB-436F-8B9E-69EE0EFD64F3}">
  <sheetPr codeName="Лист5"/>
  <dimension ref="A1:E20"/>
  <sheetViews>
    <sheetView workbookViewId="0">
      <selection activeCell="A3" sqref="A3:E3"/>
    </sheetView>
  </sheetViews>
  <sheetFormatPr defaultRowHeight="18" x14ac:dyDescent="0.35"/>
  <cols>
    <col min="1" max="1" width="8.88671875" style="7"/>
    <col min="2" max="2" width="40" style="7" customWidth="1"/>
    <col min="3" max="3" width="19.109375" style="7" customWidth="1"/>
    <col min="4" max="4" width="30.33203125" style="7" customWidth="1"/>
    <col min="5" max="5" width="20.33203125" style="7" customWidth="1"/>
    <col min="6" max="16384" width="8.88671875" style="7"/>
  </cols>
  <sheetData>
    <row r="1" spans="1:5" x14ac:dyDescent="0.35">
      <c r="A1" s="40" t="s">
        <v>32</v>
      </c>
      <c r="B1" s="40"/>
      <c r="C1" s="40"/>
      <c r="D1" s="40"/>
      <c r="E1" s="40"/>
    </row>
    <row r="2" spans="1:5" x14ac:dyDescent="0.35">
      <c r="A2" s="41" t="s">
        <v>28</v>
      </c>
      <c r="B2" s="41"/>
      <c r="C2" s="41"/>
      <c r="D2" s="41"/>
      <c r="E2" s="41"/>
    </row>
    <row r="3" spans="1:5" x14ac:dyDescent="0.35">
      <c r="A3" s="38" t="s">
        <v>27</v>
      </c>
      <c r="B3" s="38" t="s">
        <v>20</v>
      </c>
      <c r="C3" s="38" t="s">
        <v>30</v>
      </c>
      <c r="D3" s="38" t="s">
        <v>29</v>
      </c>
      <c r="E3" s="38" t="s">
        <v>31</v>
      </c>
    </row>
    <row r="4" spans="1:5" x14ac:dyDescent="0.35">
      <c r="A4" s="19"/>
      <c r="B4" s="20"/>
      <c r="C4" s="19"/>
      <c r="D4" s="20"/>
      <c r="E4" s="20"/>
    </row>
    <row r="5" spans="1:5" x14ac:dyDescent="0.35">
      <c r="A5" s="19"/>
      <c r="B5" s="20"/>
      <c r="C5" s="19"/>
      <c r="D5" s="20"/>
      <c r="E5" s="20"/>
    </row>
    <row r="6" spans="1:5" x14ac:dyDescent="0.35">
      <c r="A6" s="19"/>
      <c r="B6" s="20"/>
      <c r="C6" s="19"/>
      <c r="D6" s="20"/>
      <c r="E6" s="20"/>
    </row>
    <row r="7" spans="1:5" x14ac:dyDescent="0.35">
      <c r="A7" s="19"/>
      <c r="B7" s="20"/>
      <c r="C7" s="19"/>
      <c r="D7" s="20"/>
      <c r="E7" s="20"/>
    </row>
    <row r="8" spans="1:5" x14ac:dyDescent="0.35">
      <c r="A8" s="19"/>
      <c r="B8" s="20"/>
      <c r="C8" s="19"/>
      <c r="D8" s="20"/>
      <c r="E8" s="20"/>
    </row>
    <row r="9" spans="1:5" x14ac:dyDescent="0.35">
      <c r="A9" s="19"/>
      <c r="B9" s="20"/>
      <c r="C9" s="19"/>
      <c r="D9" s="20"/>
      <c r="E9" s="20"/>
    </row>
    <row r="10" spans="1:5" x14ac:dyDescent="0.35">
      <c r="A10" s="19"/>
      <c r="B10" s="20"/>
      <c r="C10" s="19"/>
      <c r="D10" s="20"/>
      <c r="E10" s="20"/>
    </row>
    <row r="11" spans="1:5" x14ac:dyDescent="0.35">
      <c r="A11" s="19"/>
      <c r="B11" s="20"/>
      <c r="C11" s="19"/>
      <c r="D11" s="20"/>
      <c r="E11" s="20"/>
    </row>
    <row r="12" spans="1:5" x14ac:dyDescent="0.35">
      <c r="A12" s="19"/>
      <c r="B12" s="20"/>
      <c r="C12" s="19"/>
      <c r="D12" s="20"/>
      <c r="E12" s="20"/>
    </row>
    <row r="13" spans="1:5" x14ac:dyDescent="0.35">
      <c r="A13" s="19"/>
      <c r="B13" s="20"/>
      <c r="C13" s="19"/>
      <c r="D13" s="20"/>
      <c r="E13" s="20"/>
    </row>
    <row r="14" spans="1:5" x14ac:dyDescent="0.35">
      <c r="A14" s="19"/>
      <c r="B14" s="20"/>
      <c r="C14" s="19"/>
      <c r="D14" s="20"/>
      <c r="E14" s="20"/>
    </row>
    <row r="15" spans="1:5" x14ac:dyDescent="0.35">
      <c r="A15" s="19"/>
      <c r="B15" s="20"/>
      <c r="C15" s="19"/>
      <c r="D15" s="20"/>
      <c r="E15" s="20"/>
    </row>
    <row r="16" spans="1:5" x14ac:dyDescent="0.35">
      <c r="A16" s="19"/>
      <c r="B16" s="20"/>
      <c r="C16" s="19"/>
      <c r="D16" s="20"/>
      <c r="E16" s="20"/>
    </row>
    <row r="17" spans="1:5" x14ac:dyDescent="0.35">
      <c r="A17" s="19"/>
      <c r="B17" s="19"/>
      <c r="C17" s="19"/>
      <c r="D17" s="19"/>
      <c r="E17" s="19"/>
    </row>
    <row r="18" spans="1:5" x14ac:dyDescent="0.35">
      <c r="A18" s="19"/>
      <c r="B18" s="19"/>
      <c r="C18" s="19"/>
      <c r="D18" s="19"/>
      <c r="E18" s="19"/>
    </row>
    <row r="19" spans="1:5" x14ac:dyDescent="0.35">
      <c r="A19" s="9"/>
      <c r="B19" s="9"/>
      <c r="C19" s="9"/>
      <c r="D19" s="9"/>
      <c r="E19" s="9"/>
    </row>
    <row r="20" spans="1:5" x14ac:dyDescent="0.35">
      <c r="A20" s="9"/>
      <c r="B20" s="9"/>
      <c r="C20" s="9"/>
      <c r="D20" s="9"/>
      <c r="E20" s="9"/>
    </row>
  </sheetData>
  <mergeCells count="2">
    <mergeCell ref="A1:E1"/>
    <mergeCell ref="A2:E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45577-3B77-44D5-B9C3-BFE8E7852B6D}">
  <sheetPr codeName="Лист2"/>
  <dimension ref="A1:E20"/>
  <sheetViews>
    <sheetView workbookViewId="0">
      <selection sqref="A1:E1"/>
    </sheetView>
  </sheetViews>
  <sheetFormatPr defaultRowHeight="18" x14ac:dyDescent="0.35"/>
  <cols>
    <col min="1" max="1" width="8.88671875" style="7"/>
    <col min="2" max="2" width="40" style="7" customWidth="1"/>
    <col min="3" max="3" width="19.109375" style="7" customWidth="1"/>
    <col min="4" max="4" width="30.33203125" style="7" customWidth="1"/>
    <col min="5" max="5" width="20.33203125" style="7" customWidth="1"/>
    <col min="6" max="16384" width="8.88671875" style="7"/>
  </cols>
  <sheetData>
    <row r="1" spans="1:5" x14ac:dyDescent="0.35">
      <c r="A1" s="42" t="s">
        <v>303</v>
      </c>
      <c r="B1" s="42"/>
      <c r="C1" s="42"/>
      <c r="D1" s="42"/>
      <c r="E1" s="42"/>
    </row>
    <row r="2" spans="1:5" x14ac:dyDescent="0.35">
      <c r="A2" s="43" t="s">
        <v>174</v>
      </c>
      <c r="B2" s="43"/>
      <c r="C2" s="43"/>
      <c r="D2" s="43"/>
      <c r="E2" s="43"/>
    </row>
    <row r="3" spans="1:5" x14ac:dyDescent="0.35">
      <c r="A3" s="37" t="s">
        <v>27</v>
      </c>
      <c r="B3" s="37" t="s">
        <v>20</v>
      </c>
      <c r="C3" s="37" t="s">
        <v>30</v>
      </c>
      <c r="D3" s="37" t="s">
        <v>29</v>
      </c>
      <c r="E3" s="37" t="s">
        <v>31</v>
      </c>
    </row>
    <row r="4" spans="1:5" ht="72" x14ac:dyDescent="0.35">
      <c r="A4" s="10">
        <v>1</v>
      </c>
      <c r="B4" s="2" t="s">
        <v>183</v>
      </c>
      <c r="C4" s="11" t="s">
        <v>33</v>
      </c>
      <c r="D4" s="2" t="s">
        <v>177</v>
      </c>
      <c r="E4" s="12"/>
    </row>
    <row r="5" spans="1:5" ht="54" x14ac:dyDescent="0.35">
      <c r="A5" s="10">
        <v>2</v>
      </c>
      <c r="B5" s="2" t="s">
        <v>175</v>
      </c>
      <c r="C5" s="12"/>
      <c r="D5" s="2" t="s">
        <v>178</v>
      </c>
      <c r="E5" s="12"/>
    </row>
    <row r="6" spans="1:5" ht="54" x14ac:dyDescent="0.35">
      <c r="A6" s="10">
        <v>3</v>
      </c>
      <c r="B6" s="2" t="s">
        <v>176</v>
      </c>
      <c r="C6" s="12"/>
      <c r="D6" s="2" t="s">
        <v>179</v>
      </c>
      <c r="E6" s="12"/>
    </row>
    <row r="7" spans="1:5" x14ac:dyDescent="0.35">
      <c r="A7" s="16"/>
      <c r="B7" s="17"/>
      <c r="C7" s="28"/>
      <c r="D7" s="17"/>
      <c r="E7" s="18"/>
    </row>
    <row r="8" spans="1:5" x14ac:dyDescent="0.35">
      <c r="A8" s="9"/>
      <c r="B8" s="8"/>
      <c r="C8" s="8"/>
      <c r="D8" s="8"/>
      <c r="E8" s="8"/>
    </row>
    <row r="9" spans="1:5" x14ac:dyDescent="0.35">
      <c r="A9" s="9"/>
      <c r="B9" s="8"/>
      <c r="C9" s="8"/>
      <c r="D9" s="8"/>
      <c r="E9" s="8"/>
    </row>
    <row r="10" spans="1:5" x14ac:dyDescent="0.35">
      <c r="A10" s="9"/>
      <c r="B10" s="8"/>
      <c r="C10" s="8"/>
      <c r="D10" s="8"/>
      <c r="E10" s="8"/>
    </row>
    <row r="11" spans="1:5" x14ac:dyDescent="0.35">
      <c r="A11" s="9"/>
      <c r="B11" s="8"/>
      <c r="C11" s="8"/>
      <c r="D11" s="8"/>
      <c r="E11" s="8"/>
    </row>
    <row r="12" spans="1:5" x14ac:dyDescent="0.35">
      <c r="A12" s="9"/>
      <c r="B12" s="8"/>
      <c r="C12" s="8"/>
      <c r="D12" s="8"/>
      <c r="E12" s="8"/>
    </row>
    <row r="13" spans="1:5" x14ac:dyDescent="0.35">
      <c r="A13" s="9"/>
      <c r="B13" s="8"/>
      <c r="C13" s="8"/>
      <c r="D13" s="8"/>
      <c r="E13" s="8"/>
    </row>
    <row r="14" spans="1:5" x14ac:dyDescent="0.35">
      <c r="A14" s="9"/>
      <c r="B14" s="8"/>
      <c r="C14" s="8"/>
      <c r="D14" s="8"/>
      <c r="E14" s="8"/>
    </row>
    <row r="15" spans="1:5" x14ac:dyDescent="0.35">
      <c r="B15" s="8"/>
      <c r="C15" s="8"/>
      <c r="D15" s="8"/>
      <c r="E15" s="8"/>
    </row>
    <row r="16" spans="1:5" x14ac:dyDescent="0.35">
      <c r="B16" s="8"/>
      <c r="C16" s="8"/>
      <c r="D16" s="8"/>
      <c r="E16" s="8"/>
    </row>
    <row r="17" spans="2:5" x14ac:dyDescent="0.35">
      <c r="B17" s="8"/>
      <c r="C17" s="8"/>
      <c r="D17" s="8"/>
      <c r="E17" s="8"/>
    </row>
    <row r="18" spans="2:5" x14ac:dyDescent="0.35">
      <c r="B18" s="8"/>
      <c r="C18" s="8"/>
      <c r="D18" s="8"/>
      <c r="E18" s="8"/>
    </row>
    <row r="19" spans="2:5" x14ac:dyDescent="0.35">
      <c r="B19" s="8"/>
      <c r="C19" s="8"/>
      <c r="D19" s="8"/>
      <c r="E19" s="8"/>
    </row>
    <row r="20" spans="2:5" x14ac:dyDescent="0.35">
      <c r="B20" s="8"/>
      <c r="C20" s="8"/>
      <c r="D20" s="8"/>
      <c r="E20" s="8"/>
    </row>
  </sheetData>
  <mergeCells count="2">
    <mergeCell ref="A1:E1"/>
    <mergeCell ref="A2:E2"/>
  </mergeCells>
  <hyperlinks>
    <hyperlink ref="C4" r:id="rId1" xr:uid="{32DEC679-CFC7-4375-953B-C71C31ADC094}"/>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A3E18-4FB6-45D5-8EA4-27BD82F57968}">
  <sheetPr codeName="Лист3"/>
  <dimension ref="A1:E16"/>
  <sheetViews>
    <sheetView workbookViewId="0">
      <selection sqref="A1:E1"/>
    </sheetView>
  </sheetViews>
  <sheetFormatPr defaultRowHeight="18" x14ac:dyDescent="0.35"/>
  <cols>
    <col min="1" max="1" width="8.88671875" style="7"/>
    <col min="2" max="2" width="40" style="7" customWidth="1"/>
    <col min="3" max="3" width="19.109375" style="7" customWidth="1"/>
    <col min="4" max="4" width="30.33203125" style="7" customWidth="1"/>
    <col min="5" max="5" width="20.33203125" style="7" customWidth="1"/>
    <col min="6" max="16384" width="8.88671875" style="7"/>
  </cols>
  <sheetData>
    <row r="1" spans="1:5" x14ac:dyDescent="0.35">
      <c r="A1" s="42" t="s">
        <v>304</v>
      </c>
      <c r="B1" s="42"/>
      <c r="C1" s="42"/>
      <c r="D1" s="42"/>
      <c r="E1" s="42"/>
    </row>
    <row r="2" spans="1:5" ht="77.400000000000006" customHeight="1" x14ac:dyDescent="0.35">
      <c r="A2" s="44" t="s">
        <v>184</v>
      </c>
      <c r="B2" s="44"/>
      <c r="C2" s="44"/>
      <c r="D2" s="44"/>
      <c r="E2" s="44"/>
    </row>
    <row r="3" spans="1:5" x14ac:dyDescent="0.35">
      <c r="A3" s="37" t="s">
        <v>27</v>
      </c>
      <c r="B3" s="37" t="s">
        <v>20</v>
      </c>
      <c r="C3" s="37" t="s">
        <v>30</v>
      </c>
      <c r="D3" s="37" t="s">
        <v>29</v>
      </c>
      <c r="E3" s="37" t="s">
        <v>31</v>
      </c>
    </row>
    <row r="4" spans="1:5" ht="43.8" x14ac:dyDescent="0.35">
      <c r="A4" s="3">
        <v>1</v>
      </c>
      <c r="B4" s="2" t="s">
        <v>176</v>
      </c>
      <c r="C4" s="13" t="s">
        <v>34</v>
      </c>
      <c r="D4" s="2" t="s">
        <v>186</v>
      </c>
      <c r="E4" s="12"/>
    </row>
    <row r="5" spans="1:5" ht="36" x14ac:dyDescent="0.35">
      <c r="A5" s="3">
        <v>2</v>
      </c>
      <c r="B5" s="12" t="s">
        <v>185</v>
      </c>
      <c r="C5" s="12"/>
      <c r="D5" s="12" t="s">
        <v>187</v>
      </c>
      <c r="E5" s="12"/>
    </row>
    <row r="6" spans="1:5" x14ac:dyDescent="0.35">
      <c r="A6" s="8"/>
      <c r="B6" s="8"/>
      <c r="C6" s="8"/>
      <c r="D6" s="8"/>
      <c r="E6" s="8"/>
    </row>
    <row r="7" spans="1:5" x14ac:dyDescent="0.35">
      <c r="A7" s="8"/>
      <c r="B7" s="8"/>
      <c r="C7" s="8"/>
      <c r="D7" s="8"/>
      <c r="E7" s="8"/>
    </row>
    <row r="8" spans="1:5" x14ac:dyDescent="0.35">
      <c r="A8" s="8"/>
      <c r="B8" s="8"/>
      <c r="C8" s="8"/>
      <c r="D8" s="8"/>
      <c r="E8" s="8"/>
    </row>
    <row r="9" spans="1:5" x14ac:dyDescent="0.35">
      <c r="A9" s="8"/>
      <c r="B9" s="8"/>
      <c r="C9" s="8"/>
      <c r="D9" s="8"/>
      <c r="E9" s="8"/>
    </row>
    <row r="10" spans="1:5" x14ac:dyDescent="0.35">
      <c r="A10" s="8"/>
      <c r="B10" s="8"/>
      <c r="C10" s="8"/>
      <c r="D10" s="8"/>
      <c r="E10" s="8"/>
    </row>
    <row r="11" spans="1:5" x14ac:dyDescent="0.35">
      <c r="A11" s="8"/>
      <c r="B11" s="8"/>
      <c r="C11" s="8"/>
      <c r="D11" s="8"/>
      <c r="E11" s="8"/>
    </row>
    <row r="12" spans="1:5" x14ac:dyDescent="0.35">
      <c r="A12" s="8"/>
      <c r="B12" s="8"/>
      <c r="C12" s="8"/>
      <c r="D12" s="8"/>
      <c r="E12" s="8"/>
    </row>
    <row r="13" spans="1:5" x14ac:dyDescent="0.35">
      <c r="A13" s="8"/>
      <c r="B13" s="8"/>
      <c r="C13" s="8"/>
      <c r="D13" s="8"/>
      <c r="E13" s="8"/>
    </row>
    <row r="14" spans="1:5" x14ac:dyDescent="0.35">
      <c r="A14" s="8"/>
      <c r="B14" s="8"/>
      <c r="C14" s="8"/>
      <c r="D14" s="8"/>
      <c r="E14" s="8"/>
    </row>
    <row r="15" spans="1:5" x14ac:dyDescent="0.35">
      <c r="A15" s="8"/>
      <c r="B15" s="8"/>
      <c r="C15" s="8"/>
      <c r="D15" s="8"/>
      <c r="E15" s="8"/>
    </row>
    <row r="16" spans="1:5" x14ac:dyDescent="0.35">
      <c r="A16" s="8"/>
      <c r="B16" s="8"/>
      <c r="C16" s="8"/>
      <c r="D16" s="8"/>
      <c r="E16" s="8"/>
    </row>
  </sheetData>
  <mergeCells count="2">
    <mergeCell ref="A1:E1"/>
    <mergeCell ref="A2:E2"/>
  </mergeCells>
  <hyperlinks>
    <hyperlink ref="C4" r:id="rId1" xr:uid="{30F4B6E5-B0F9-4A10-82A1-D1D9A474485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ECD1E-71CE-4FD0-BCC3-DE9588620132}">
  <sheetPr codeName="Лист4"/>
  <dimension ref="A1:E6"/>
  <sheetViews>
    <sheetView workbookViewId="0">
      <selection activeCell="A2" sqref="A2:E2"/>
    </sheetView>
  </sheetViews>
  <sheetFormatPr defaultRowHeight="18" x14ac:dyDescent="0.35"/>
  <cols>
    <col min="1" max="1" width="8.88671875" style="7"/>
    <col min="2" max="2" width="40" style="7" customWidth="1"/>
    <col min="3" max="3" width="19.109375" style="7" customWidth="1"/>
    <col min="4" max="4" width="30.33203125" style="7" customWidth="1"/>
    <col min="5" max="5" width="20.33203125" style="7" customWidth="1"/>
    <col min="6" max="16384" width="8.88671875" style="7"/>
  </cols>
  <sheetData>
    <row r="1" spans="1:5" x14ac:dyDescent="0.35">
      <c r="A1" s="42" t="s">
        <v>188</v>
      </c>
      <c r="B1" s="42"/>
      <c r="C1" s="42"/>
      <c r="D1" s="42"/>
      <c r="E1" s="42"/>
    </row>
    <row r="2" spans="1:5" ht="77.400000000000006" customHeight="1" x14ac:dyDescent="0.35">
      <c r="A2" s="44" t="s">
        <v>184</v>
      </c>
      <c r="B2" s="44"/>
      <c r="C2" s="44"/>
      <c r="D2" s="44"/>
      <c r="E2" s="44"/>
    </row>
    <row r="3" spans="1:5" x14ac:dyDescent="0.35">
      <c r="A3" s="37" t="s">
        <v>27</v>
      </c>
      <c r="B3" s="37" t="s">
        <v>20</v>
      </c>
      <c r="C3" s="37" t="s">
        <v>30</v>
      </c>
      <c r="D3" s="37" t="s">
        <v>29</v>
      </c>
      <c r="E3" s="37" t="s">
        <v>31</v>
      </c>
    </row>
    <row r="4" spans="1:5" ht="90" x14ac:dyDescent="0.35">
      <c r="A4" s="10">
        <v>1</v>
      </c>
      <c r="B4" s="2" t="s">
        <v>189</v>
      </c>
      <c r="C4" s="12"/>
      <c r="D4" s="2" t="s">
        <v>190</v>
      </c>
      <c r="E4" s="12"/>
    </row>
    <row r="5" spans="1:5" x14ac:dyDescent="0.35">
      <c r="A5" s="16"/>
      <c r="B5" s="17"/>
      <c r="C5" s="18"/>
      <c r="D5" s="17"/>
      <c r="E5" s="18"/>
    </row>
    <row r="6" spans="1:5" x14ac:dyDescent="0.35">
      <c r="A6" s="16"/>
      <c r="B6" s="17"/>
      <c r="C6" s="18"/>
      <c r="D6" s="17"/>
      <c r="E6" s="18"/>
    </row>
  </sheetData>
  <mergeCells count="2">
    <mergeCell ref="A1:E1"/>
    <mergeCell ref="A2:E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12C11-C2D4-47B0-B49B-68D9A9B794FD}">
  <sheetPr codeName="Лист6"/>
  <dimension ref="A1:E14"/>
  <sheetViews>
    <sheetView workbookViewId="0">
      <selection activeCell="H4" sqref="H4"/>
    </sheetView>
  </sheetViews>
  <sheetFormatPr defaultRowHeight="18" x14ac:dyDescent="0.35"/>
  <cols>
    <col min="1" max="1" width="8.88671875" style="7"/>
    <col min="2" max="2" width="40" style="7" customWidth="1"/>
    <col min="3" max="3" width="19.109375" style="7" customWidth="1"/>
    <col min="4" max="4" width="30.33203125" style="7" customWidth="1"/>
    <col min="5" max="5" width="20.33203125" style="7" customWidth="1"/>
    <col min="6" max="16384" width="8.88671875" style="7"/>
  </cols>
  <sheetData>
    <row r="1" spans="1:5" x14ac:dyDescent="0.35">
      <c r="A1" s="42" t="s">
        <v>305</v>
      </c>
      <c r="B1" s="42"/>
      <c r="C1" s="42"/>
      <c r="D1" s="42"/>
      <c r="E1" s="42"/>
    </row>
    <row r="2" spans="1:5" ht="77.400000000000006" customHeight="1" x14ac:dyDescent="0.35">
      <c r="A2" s="45" t="s">
        <v>191</v>
      </c>
      <c r="B2" s="46"/>
      <c r="C2" s="46"/>
      <c r="D2" s="46"/>
      <c r="E2" s="47"/>
    </row>
    <row r="3" spans="1:5" x14ac:dyDescent="0.35">
      <c r="A3" s="37" t="s">
        <v>27</v>
      </c>
      <c r="B3" s="37" t="s">
        <v>20</v>
      </c>
      <c r="C3" s="37" t="s">
        <v>30</v>
      </c>
      <c r="D3" s="37" t="s">
        <v>29</v>
      </c>
      <c r="E3" s="37" t="s">
        <v>31</v>
      </c>
    </row>
    <row r="4" spans="1:5" ht="198" x14ac:dyDescent="0.35">
      <c r="A4" s="3">
        <v>1</v>
      </c>
      <c r="B4" s="14" t="s">
        <v>192</v>
      </c>
      <c r="C4" s="3">
        <v>-5</v>
      </c>
      <c r="D4" s="14" t="s">
        <v>193</v>
      </c>
      <c r="E4" s="35" t="s">
        <v>194</v>
      </c>
    </row>
    <row r="5" spans="1:5" ht="54" x14ac:dyDescent="0.35">
      <c r="A5" s="3">
        <v>2</v>
      </c>
      <c r="B5" s="2" t="s">
        <v>195</v>
      </c>
      <c r="C5" s="11"/>
      <c r="D5" s="2" t="s">
        <v>196</v>
      </c>
      <c r="E5" s="3"/>
    </row>
    <row r="6" spans="1:5" x14ac:dyDescent="0.35">
      <c r="A6" s="19"/>
      <c r="B6" s="19"/>
      <c r="C6" s="19"/>
      <c r="D6" s="19"/>
      <c r="E6" s="19"/>
    </row>
    <row r="7" spans="1:5" x14ac:dyDescent="0.35">
      <c r="A7" s="19"/>
      <c r="B7" s="19"/>
      <c r="C7" s="19"/>
      <c r="D7" s="19"/>
      <c r="E7" s="19"/>
    </row>
    <row r="8" spans="1:5" x14ac:dyDescent="0.35">
      <c r="A8" s="19"/>
      <c r="B8" s="19"/>
      <c r="C8" s="19"/>
      <c r="D8" s="19"/>
      <c r="E8" s="19"/>
    </row>
    <row r="9" spans="1:5" x14ac:dyDescent="0.35">
      <c r="A9" s="8"/>
      <c r="B9" s="8"/>
      <c r="C9" s="8"/>
      <c r="D9" s="8"/>
      <c r="E9" s="8"/>
    </row>
    <row r="10" spans="1:5" x14ac:dyDescent="0.35">
      <c r="A10" s="8"/>
      <c r="B10" s="8"/>
      <c r="C10" s="8"/>
      <c r="D10" s="8"/>
      <c r="E10" s="8"/>
    </row>
    <row r="11" spans="1:5" x14ac:dyDescent="0.35">
      <c r="A11" s="8"/>
      <c r="B11" s="8"/>
      <c r="C11" s="8"/>
      <c r="D11" s="8"/>
      <c r="E11" s="8"/>
    </row>
    <row r="12" spans="1:5" x14ac:dyDescent="0.35">
      <c r="A12" s="8"/>
      <c r="B12" s="8"/>
      <c r="C12" s="8"/>
      <c r="D12" s="8"/>
      <c r="E12" s="8"/>
    </row>
    <row r="13" spans="1:5" x14ac:dyDescent="0.35">
      <c r="A13" s="8"/>
      <c r="B13" s="8"/>
      <c r="C13" s="8"/>
      <c r="D13" s="8"/>
      <c r="E13" s="8"/>
    </row>
    <row r="14" spans="1:5" x14ac:dyDescent="0.35">
      <c r="A14" s="8"/>
      <c r="B14" s="8"/>
      <c r="C14" s="8"/>
      <c r="D14" s="8"/>
      <c r="E14" s="8"/>
    </row>
  </sheetData>
  <mergeCells count="2">
    <mergeCell ref="A1:E1"/>
    <mergeCell ref="A2:E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8E752-4B82-4BBB-B21C-6380A2BBA6FA}">
  <sheetPr codeName="Лист7"/>
  <dimension ref="A1:E14"/>
  <sheetViews>
    <sheetView workbookViewId="0">
      <selection activeCell="A2" sqref="A2:E2"/>
    </sheetView>
  </sheetViews>
  <sheetFormatPr defaultRowHeight="18" x14ac:dyDescent="0.35"/>
  <cols>
    <col min="1" max="1" width="8.88671875" style="7"/>
    <col min="2" max="2" width="40" style="7" customWidth="1"/>
    <col min="3" max="3" width="19.109375" style="7" customWidth="1"/>
    <col min="4" max="4" width="30.33203125" style="7" customWidth="1"/>
    <col min="5" max="5" width="20.33203125" style="7" customWidth="1"/>
    <col min="6" max="16384" width="8.88671875" style="7"/>
  </cols>
  <sheetData>
    <row r="1" spans="1:5" x14ac:dyDescent="0.35">
      <c r="A1" s="42" t="s">
        <v>306</v>
      </c>
      <c r="B1" s="42"/>
      <c r="C1" s="42"/>
      <c r="D1" s="42"/>
      <c r="E1" s="42"/>
    </row>
    <row r="2" spans="1:5" ht="77.400000000000006" customHeight="1" x14ac:dyDescent="0.35">
      <c r="A2" s="45" t="s">
        <v>191</v>
      </c>
      <c r="B2" s="46"/>
      <c r="C2" s="46"/>
      <c r="D2" s="46"/>
      <c r="E2" s="47"/>
    </row>
    <row r="3" spans="1:5" x14ac:dyDescent="0.35">
      <c r="A3" s="37" t="s">
        <v>27</v>
      </c>
      <c r="B3" s="37" t="s">
        <v>20</v>
      </c>
      <c r="C3" s="37" t="s">
        <v>30</v>
      </c>
      <c r="D3" s="37" t="s">
        <v>29</v>
      </c>
      <c r="E3" s="37" t="s">
        <v>31</v>
      </c>
    </row>
    <row r="4" spans="1:5" ht="198" x14ac:dyDescent="0.35">
      <c r="A4" s="3">
        <v>1</v>
      </c>
      <c r="B4" s="14" t="s">
        <v>197</v>
      </c>
      <c r="C4" s="3" t="s">
        <v>35</v>
      </c>
      <c r="D4" s="14" t="s">
        <v>193</v>
      </c>
      <c r="E4" s="35" t="s">
        <v>198</v>
      </c>
    </row>
    <row r="5" spans="1:5" ht="54" x14ac:dyDescent="0.35">
      <c r="A5" s="3">
        <v>2</v>
      </c>
      <c r="B5" s="2" t="s">
        <v>195</v>
      </c>
      <c r="C5" s="11"/>
      <c r="D5" s="2" t="s">
        <v>196</v>
      </c>
      <c r="E5" s="3"/>
    </row>
    <row r="6" spans="1:5" x14ac:dyDescent="0.35">
      <c r="A6" s="19"/>
      <c r="B6" s="19"/>
      <c r="C6" s="19"/>
      <c r="D6" s="19"/>
      <c r="E6" s="19"/>
    </row>
    <row r="7" spans="1:5" x14ac:dyDescent="0.35">
      <c r="A7" s="19"/>
      <c r="B7" s="19"/>
      <c r="C7" s="19"/>
      <c r="D7" s="19"/>
      <c r="E7" s="19"/>
    </row>
    <row r="8" spans="1:5" x14ac:dyDescent="0.35">
      <c r="A8" s="19"/>
      <c r="B8" s="19"/>
      <c r="C8" s="19"/>
      <c r="D8" s="19"/>
      <c r="E8" s="19"/>
    </row>
    <row r="9" spans="1:5" x14ac:dyDescent="0.35">
      <c r="A9" s="8"/>
      <c r="B9" s="8"/>
      <c r="C9" s="8"/>
      <c r="D9" s="8"/>
      <c r="E9" s="8"/>
    </row>
    <row r="10" spans="1:5" x14ac:dyDescent="0.35">
      <c r="A10" s="8"/>
      <c r="B10" s="8"/>
      <c r="C10" s="8"/>
      <c r="D10" s="8"/>
      <c r="E10" s="8"/>
    </row>
    <row r="11" spans="1:5" x14ac:dyDescent="0.35">
      <c r="A11" s="8"/>
      <c r="B11" s="8"/>
      <c r="C11" s="8"/>
      <c r="D11" s="8"/>
      <c r="E11" s="8"/>
    </row>
    <row r="12" spans="1:5" x14ac:dyDescent="0.35">
      <c r="A12" s="8"/>
      <c r="B12" s="8"/>
      <c r="C12" s="8"/>
      <c r="D12" s="8"/>
      <c r="E12" s="8"/>
    </row>
    <row r="13" spans="1:5" x14ac:dyDescent="0.35">
      <c r="A13" s="8"/>
      <c r="B13" s="8"/>
      <c r="C13" s="8"/>
      <c r="D13" s="8"/>
      <c r="E13" s="8"/>
    </row>
    <row r="14" spans="1:5" x14ac:dyDescent="0.35">
      <c r="A14" s="8"/>
      <c r="B14" s="8"/>
      <c r="C14" s="8"/>
      <c r="D14" s="8"/>
      <c r="E14" s="8"/>
    </row>
  </sheetData>
  <mergeCells count="2">
    <mergeCell ref="A1:E1"/>
    <mergeCell ref="A2:E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48D32-BB8A-4A11-AD2A-D6F56A115257}">
  <sheetPr codeName="Лист8"/>
  <dimension ref="A1:E20"/>
  <sheetViews>
    <sheetView workbookViewId="0">
      <selection activeCell="C6" sqref="C6"/>
    </sheetView>
  </sheetViews>
  <sheetFormatPr defaultRowHeight="18" x14ac:dyDescent="0.35"/>
  <cols>
    <col min="1" max="1" width="8.88671875" style="7"/>
    <col min="2" max="2" width="40" style="7" customWidth="1"/>
    <col min="3" max="3" width="19.109375" style="7" customWidth="1"/>
    <col min="4" max="4" width="30.33203125" style="7" customWidth="1"/>
    <col min="5" max="5" width="20.33203125" style="7" customWidth="1"/>
    <col min="6" max="16384" width="8.88671875" style="7"/>
  </cols>
  <sheetData>
    <row r="1" spans="1:5" x14ac:dyDescent="0.35">
      <c r="A1" s="40" t="s">
        <v>307</v>
      </c>
      <c r="B1" s="40"/>
      <c r="C1" s="40"/>
      <c r="D1" s="40"/>
      <c r="E1" s="40"/>
    </row>
    <row r="2" spans="1:5" ht="18" customHeight="1" x14ac:dyDescent="0.35">
      <c r="A2" s="43" t="s">
        <v>273</v>
      </c>
      <c r="B2" s="43"/>
      <c r="C2" s="43"/>
      <c r="D2" s="43"/>
      <c r="E2" s="43"/>
    </row>
    <row r="3" spans="1:5" x14ac:dyDescent="0.35">
      <c r="A3" s="38" t="s">
        <v>27</v>
      </c>
      <c r="B3" s="38" t="s">
        <v>20</v>
      </c>
      <c r="C3" s="38" t="s">
        <v>30</v>
      </c>
      <c r="D3" s="38" t="s">
        <v>29</v>
      </c>
      <c r="E3" s="38" t="s">
        <v>31</v>
      </c>
    </row>
    <row r="4" spans="1:5" ht="72" x14ac:dyDescent="0.35">
      <c r="A4" s="10">
        <v>1</v>
      </c>
      <c r="B4" s="2" t="s">
        <v>183</v>
      </c>
      <c r="C4" s="11" t="s">
        <v>33</v>
      </c>
      <c r="D4" s="2" t="s">
        <v>177</v>
      </c>
      <c r="E4" s="12"/>
    </row>
    <row r="5" spans="1:5" ht="36" x14ac:dyDescent="0.35">
      <c r="A5" s="10">
        <v>2</v>
      </c>
      <c r="B5" s="2" t="s">
        <v>175</v>
      </c>
      <c r="C5" s="3" t="s">
        <v>332</v>
      </c>
      <c r="D5" s="2" t="s">
        <v>199</v>
      </c>
      <c r="E5" s="12"/>
    </row>
    <row r="6" spans="1:5" x14ac:dyDescent="0.35">
      <c r="A6" s="3">
        <v>3</v>
      </c>
      <c r="B6" s="2" t="s">
        <v>331</v>
      </c>
      <c r="C6" s="3"/>
      <c r="D6" s="25" t="s">
        <v>200</v>
      </c>
      <c r="E6" s="25"/>
    </row>
    <row r="7" spans="1:5" ht="54" x14ac:dyDescent="0.35">
      <c r="A7" s="3">
        <v>4</v>
      </c>
      <c r="B7" s="25" t="s">
        <v>201</v>
      </c>
      <c r="C7" s="3"/>
      <c r="D7" s="25" t="s">
        <v>202</v>
      </c>
      <c r="E7" s="25"/>
    </row>
    <row r="8" spans="1:5" x14ac:dyDescent="0.35">
      <c r="A8" s="19"/>
      <c r="B8" s="20"/>
      <c r="C8" s="19"/>
      <c r="D8" s="20"/>
      <c r="E8" s="20"/>
    </row>
    <row r="9" spans="1:5" x14ac:dyDescent="0.35">
      <c r="A9" s="19"/>
      <c r="B9" s="20"/>
      <c r="C9" s="19"/>
      <c r="D9" s="20"/>
      <c r="E9" s="20"/>
    </row>
    <row r="10" spans="1:5" x14ac:dyDescent="0.35">
      <c r="A10" s="19"/>
      <c r="B10" s="20"/>
      <c r="C10" s="19"/>
      <c r="D10" s="20"/>
      <c r="E10" s="20"/>
    </row>
    <row r="11" spans="1:5" x14ac:dyDescent="0.35">
      <c r="A11" s="19"/>
      <c r="B11" s="20"/>
      <c r="C11" s="19"/>
      <c r="D11" s="20"/>
      <c r="E11" s="20"/>
    </row>
    <row r="12" spans="1:5" x14ac:dyDescent="0.35">
      <c r="A12" s="19"/>
      <c r="B12" s="20"/>
      <c r="C12" s="19"/>
      <c r="D12" s="20"/>
      <c r="E12" s="20"/>
    </row>
    <row r="13" spans="1:5" x14ac:dyDescent="0.35">
      <c r="A13" s="19"/>
      <c r="B13" s="20"/>
      <c r="C13" s="19"/>
      <c r="D13" s="20"/>
      <c r="E13" s="20"/>
    </row>
    <row r="14" spans="1:5" x14ac:dyDescent="0.35">
      <c r="A14" s="19"/>
      <c r="B14" s="20"/>
      <c r="C14" s="19"/>
      <c r="D14" s="20"/>
      <c r="E14" s="20"/>
    </row>
    <row r="15" spans="1:5" x14ac:dyDescent="0.35">
      <c r="A15" s="19"/>
      <c r="B15" s="20"/>
      <c r="C15" s="19"/>
      <c r="D15" s="20"/>
      <c r="E15" s="20"/>
    </row>
    <row r="16" spans="1:5" x14ac:dyDescent="0.35">
      <c r="A16" s="19"/>
      <c r="B16" s="20"/>
      <c r="C16" s="19"/>
      <c r="D16" s="20"/>
      <c r="E16" s="20"/>
    </row>
    <row r="17" spans="1:5" x14ac:dyDescent="0.35">
      <c r="A17" s="19"/>
      <c r="B17" s="19"/>
      <c r="C17" s="19"/>
      <c r="D17" s="19"/>
      <c r="E17" s="19"/>
    </row>
    <row r="18" spans="1:5" x14ac:dyDescent="0.35">
      <c r="A18" s="19"/>
      <c r="B18" s="19"/>
      <c r="C18" s="19"/>
      <c r="D18" s="19"/>
      <c r="E18" s="19"/>
    </row>
    <row r="19" spans="1:5" x14ac:dyDescent="0.35">
      <c r="A19" s="9"/>
      <c r="B19" s="9"/>
      <c r="C19" s="9"/>
      <c r="D19" s="9"/>
      <c r="E19" s="9"/>
    </row>
    <row r="20" spans="1:5" x14ac:dyDescent="0.35">
      <c r="A20" s="9"/>
      <c r="B20" s="9"/>
      <c r="C20" s="9"/>
      <c r="D20" s="9"/>
      <c r="E20" s="9"/>
    </row>
  </sheetData>
  <mergeCells count="2">
    <mergeCell ref="A1:E1"/>
    <mergeCell ref="A2:E2"/>
  </mergeCells>
  <hyperlinks>
    <hyperlink ref="C4" r:id="rId1" xr:uid="{E1B7433B-3E60-4A65-BDAA-4AFBA37BA6AC}"/>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F84B6-414B-4E7E-BC05-051CAE1C9B67}">
  <sheetPr codeName="Лист9"/>
  <dimension ref="A1:E20"/>
  <sheetViews>
    <sheetView topLeftCell="A4" zoomScale="70" zoomScaleNormal="70" workbookViewId="0">
      <selection activeCell="G11" sqref="G11"/>
    </sheetView>
  </sheetViews>
  <sheetFormatPr defaultRowHeight="18" x14ac:dyDescent="0.35"/>
  <cols>
    <col min="1" max="1" width="8.88671875" style="7"/>
    <col min="2" max="2" width="40" style="7" customWidth="1"/>
    <col min="3" max="3" width="19.109375" style="7" customWidth="1"/>
    <col min="4" max="4" width="30.33203125" style="7" customWidth="1"/>
    <col min="5" max="5" width="20.33203125" style="7" customWidth="1"/>
    <col min="6" max="16384" width="8.88671875" style="7"/>
  </cols>
  <sheetData>
    <row r="1" spans="1:5" x14ac:dyDescent="0.35">
      <c r="A1" s="40" t="s">
        <v>309</v>
      </c>
      <c r="B1" s="40"/>
      <c r="C1" s="40"/>
      <c r="D1" s="40"/>
      <c r="E1" s="40"/>
    </row>
    <row r="2" spans="1:5" ht="77.400000000000006" customHeight="1" x14ac:dyDescent="0.35">
      <c r="A2" s="44" t="s">
        <v>36</v>
      </c>
      <c r="B2" s="44"/>
      <c r="C2" s="44"/>
      <c r="D2" s="44"/>
      <c r="E2" s="44"/>
    </row>
    <row r="3" spans="1:5" x14ac:dyDescent="0.35">
      <c r="A3" s="38" t="s">
        <v>27</v>
      </c>
      <c r="B3" s="38" t="s">
        <v>20</v>
      </c>
      <c r="C3" s="38" t="s">
        <v>30</v>
      </c>
      <c r="D3" s="38" t="s">
        <v>29</v>
      </c>
      <c r="E3" s="38" t="s">
        <v>31</v>
      </c>
    </row>
    <row r="4" spans="1:5" ht="43.2" x14ac:dyDescent="0.35">
      <c r="A4" s="3">
        <v>1</v>
      </c>
      <c r="B4" s="14" t="s">
        <v>203</v>
      </c>
      <c r="C4" s="21" t="s">
        <v>37</v>
      </c>
      <c r="D4" s="14" t="s">
        <v>204</v>
      </c>
      <c r="E4" s="14"/>
    </row>
    <row r="5" spans="1:5" ht="36" x14ac:dyDescent="0.35">
      <c r="A5" s="3">
        <v>2</v>
      </c>
      <c r="B5" s="14" t="s">
        <v>227</v>
      </c>
      <c r="C5" s="3"/>
      <c r="D5" s="14" t="s">
        <v>205</v>
      </c>
      <c r="E5" s="14"/>
    </row>
    <row r="6" spans="1:5" ht="54" x14ac:dyDescent="0.35">
      <c r="A6" s="3">
        <v>3</v>
      </c>
      <c r="B6" s="14" t="s">
        <v>206</v>
      </c>
      <c r="C6" s="3"/>
      <c r="D6" s="14" t="s">
        <v>207</v>
      </c>
      <c r="E6" s="14"/>
    </row>
    <row r="7" spans="1:5" ht="36" x14ac:dyDescent="0.35">
      <c r="A7" s="3">
        <v>4</v>
      </c>
      <c r="B7" s="14" t="s">
        <v>208</v>
      </c>
      <c r="C7" s="3" t="s">
        <v>39</v>
      </c>
      <c r="D7" s="14" t="s">
        <v>333</v>
      </c>
      <c r="E7" s="14"/>
    </row>
    <row r="8" spans="1:5" ht="36" x14ac:dyDescent="0.35">
      <c r="A8" s="3">
        <v>5</v>
      </c>
      <c r="B8" s="14" t="s">
        <v>209</v>
      </c>
      <c r="C8" s="3">
        <v>611945025</v>
      </c>
      <c r="D8" s="14" t="s">
        <v>210</v>
      </c>
      <c r="E8" s="14"/>
    </row>
    <row r="9" spans="1:5" ht="36" x14ac:dyDescent="0.35">
      <c r="A9" s="3">
        <v>6</v>
      </c>
      <c r="B9" s="14" t="s">
        <v>211</v>
      </c>
      <c r="C9" s="3" t="s">
        <v>38</v>
      </c>
      <c r="D9" s="35" t="s">
        <v>333</v>
      </c>
      <c r="E9" s="14"/>
    </row>
    <row r="10" spans="1:5" ht="36" x14ac:dyDescent="0.35">
      <c r="A10" s="3">
        <v>7</v>
      </c>
      <c r="B10" s="14" t="s">
        <v>212</v>
      </c>
      <c r="C10" s="3">
        <v>1</v>
      </c>
      <c r="D10" s="14" t="s">
        <v>213</v>
      </c>
      <c r="E10" s="14"/>
    </row>
    <row r="11" spans="1:5" x14ac:dyDescent="0.35">
      <c r="A11" s="3">
        <v>8</v>
      </c>
      <c r="B11" s="22" t="s">
        <v>214</v>
      </c>
      <c r="C11" s="3"/>
      <c r="D11" s="14" t="s">
        <v>215</v>
      </c>
      <c r="E11" s="14"/>
    </row>
    <row r="12" spans="1:5" ht="232.8" customHeight="1" x14ac:dyDescent="0.35">
      <c r="A12" s="3">
        <v>9</v>
      </c>
      <c r="B12" s="2" t="s">
        <v>216</v>
      </c>
      <c r="C12" s="3"/>
      <c r="D12" s="14" t="s">
        <v>217</v>
      </c>
      <c r="E12" s="23" t="s">
        <v>40</v>
      </c>
    </row>
    <row r="13" spans="1:5" ht="90" x14ac:dyDescent="0.35">
      <c r="A13" s="3">
        <v>10</v>
      </c>
      <c r="B13" s="22" t="s">
        <v>218</v>
      </c>
      <c r="C13" s="3"/>
      <c r="D13" s="14" t="s">
        <v>219</v>
      </c>
      <c r="E13" s="14" t="s">
        <v>41</v>
      </c>
    </row>
    <row r="14" spans="1:5" x14ac:dyDescent="0.35">
      <c r="A14" s="19"/>
      <c r="B14" s="20"/>
      <c r="C14" s="19"/>
      <c r="D14" s="20"/>
      <c r="E14" s="20"/>
    </row>
    <row r="15" spans="1:5" x14ac:dyDescent="0.35">
      <c r="A15" s="19"/>
      <c r="B15" s="19"/>
      <c r="C15" s="19"/>
      <c r="D15" s="19"/>
      <c r="E15" s="19"/>
    </row>
    <row r="16" spans="1:5" x14ac:dyDescent="0.35">
      <c r="A16" s="19"/>
      <c r="B16" s="19"/>
      <c r="C16" s="19"/>
      <c r="D16" s="19"/>
      <c r="E16" s="19"/>
    </row>
    <row r="17" spans="1:5" x14ac:dyDescent="0.35">
      <c r="A17" s="19"/>
      <c r="B17" s="19"/>
      <c r="C17" s="19"/>
      <c r="D17" s="19"/>
      <c r="E17" s="19"/>
    </row>
    <row r="18" spans="1:5" x14ac:dyDescent="0.35">
      <c r="A18" s="19"/>
      <c r="B18" s="19"/>
      <c r="C18" s="19"/>
      <c r="D18" s="19"/>
      <c r="E18" s="19"/>
    </row>
    <row r="19" spans="1:5" x14ac:dyDescent="0.35">
      <c r="A19" s="9"/>
      <c r="B19" s="9"/>
      <c r="C19" s="9"/>
      <c r="D19" s="9"/>
      <c r="E19" s="9"/>
    </row>
    <row r="20" spans="1:5" x14ac:dyDescent="0.35">
      <c r="A20" s="9"/>
      <c r="B20" s="9"/>
      <c r="C20" s="9"/>
      <c r="D20" s="9"/>
      <c r="E20" s="9"/>
    </row>
  </sheetData>
  <mergeCells count="2">
    <mergeCell ref="A1:E1"/>
    <mergeCell ref="A2:E2"/>
  </mergeCells>
  <hyperlinks>
    <hyperlink ref="C4" r:id="rId1" xr:uid="{3F0168B1-6C8E-4C2C-B0E0-10E29132F068}"/>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304FAB-57F9-497B-845D-CCCE55D1034E}">
  <sheetPr codeName="Лист10"/>
  <dimension ref="A1:E20"/>
  <sheetViews>
    <sheetView zoomScale="90" zoomScaleNormal="90" workbookViewId="0">
      <selection activeCell="A2" sqref="A2:E2"/>
    </sheetView>
  </sheetViews>
  <sheetFormatPr defaultRowHeight="18" x14ac:dyDescent="0.35"/>
  <cols>
    <col min="1" max="1" width="8.88671875" style="7"/>
    <col min="2" max="2" width="40" style="7" customWidth="1"/>
    <col min="3" max="3" width="19.109375" style="7" customWidth="1"/>
    <col min="4" max="4" width="30.33203125" style="7" customWidth="1"/>
    <col min="5" max="5" width="20.33203125" style="7" customWidth="1"/>
    <col min="6" max="16384" width="8.88671875" style="7"/>
  </cols>
  <sheetData>
    <row r="1" spans="1:5" x14ac:dyDescent="0.35">
      <c r="A1" s="40" t="s">
        <v>310</v>
      </c>
      <c r="B1" s="40"/>
      <c r="C1" s="40"/>
      <c r="D1" s="40"/>
      <c r="E1" s="40"/>
    </row>
    <row r="2" spans="1:5" ht="90" customHeight="1" x14ac:dyDescent="0.35">
      <c r="A2" s="41" t="s">
        <v>220</v>
      </c>
      <c r="B2" s="41"/>
      <c r="C2" s="41"/>
      <c r="D2" s="41"/>
      <c r="E2" s="41"/>
    </row>
    <row r="3" spans="1:5" x14ac:dyDescent="0.35">
      <c r="A3" s="38" t="s">
        <v>27</v>
      </c>
      <c r="B3" s="38" t="s">
        <v>20</v>
      </c>
      <c r="C3" s="38" t="s">
        <v>30</v>
      </c>
      <c r="D3" s="38" t="s">
        <v>29</v>
      </c>
      <c r="E3" s="38" t="s">
        <v>31</v>
      </c>
    </row>
    <row r="4" spans="1:5" ht="43.2" x14ac:dyDescent="0.35">
      <c r="A4" s="3">
        <v>1</v>
      </c>
      <c r="B4" s="15" t="s">
        <v>203</v>
      </c>
      <c r="C4" s="21" t="s">
        <v>53</v>
      </c>
      <c r="D4" s="15" t="s">
        <v>204</v>
      </c>
      <c r="E4" s="15"/>
    </row>
    <row r="5" spans="1:5" x14ac:dyDescent="0.35">
      <c r="A5" s="3">
        <v>2</v>
      </c>
      <c r="B5" s="22" t="s">
        <v>214</v>
      </c>
      <c r="C5" s="3"/>
      <c r="D5" s="15" t="s">
        <v>215</v>
      </c>
      <c r="E5" s="15"/>
    </row>
    <row r="6" spans="1:5" ht="158.4" customHeight="1" x14ac:dyDescent="0.35">
      <c r="A6" s="3">
        <v>3</v>
      </c>
      <c r="B6" s="2" t="s">
        <v>216</v>
      </c>
      <c r="C6" s="3"/>
      <c r="D6" s="15" t="s">
        <v>217</v>
      </c>
      <c r="E6" s="23" t="s">
        <v>54</v>
      </c>
    </row>
    <row r="7" spans="1:5" ht="72" x14ac:dyDescent="0.35">
      <c r="A7" s="3">
        <v>4</v>
      </c>
      <c r="B7" s="22" t="s">
        <v>218</v>
      </c>
      <c r="C7" s="3"/>
      <c r="D7" s="15" t="s">
        <v>221</v>
      </c>
      <c r="E7" s="15" t="s">
        <v>55</v>
      </c>
    </row>
    <row r="8" spans="1:5" x14ac:dyDescent="0.35">
      <c r="A8" s="19"/>
      <c r="B8" s="20"/>
      <c r="C8" s="19"/>
      <c r="D8" s="20"/>
      <c r="E8" s="20"/>
    </row>
    <row r="9" spans="1:5" x14ac:dyDescent="0.35">
      <c r="A9" s="19"/>
      <c r="B9" s="20"/>
      <c r="C9" s="19"/>
      <c r="D9" s="20"/>
      <c r="E9" s="20"/>
    </row>
    <row r="10" spans="1:5" x14ac:dyDescent="0.35">
      <c r="A10" s="19"/>
      <c r="B10" s="20"/>
      <c r="C10" s="19"/>
      <c r="D10" s="20"/>
      <c r="E10" s="20"/>
    </row>
    <row r="11" spans="1:5" x14ac:dyDescent="0.35">
      <c r="A11" s="19"/>
      <c r="B11" s="20"/>
      <c r="C11" s="19"/>
      <c r="D11" s="20"/>
      <c r="E11" s="20"/>
    </row>
    <row r="12" spans="1:5" x14ac:dyDescent="0.35">
      <c r="A12" s="19"/>
      <c r="B12" s="20"/>
      <c r="C12" s="19"/>
      <c r="D12" s="20"/>
      <c r="E12" s="20"/>
    </row>
    <row r="13" spans="1:5" x14ac:dyDescent="0.35">
      <c r="A13" s="19"/>
      <c r="B13" s="20"/>
      <c r="C13" s="19"/>
      <c r="D13" s="20"/>
      <c r="E13" s="20"/>
    </row>
    <row r="14" spans="1:5" x14ac:dyDescent="0.35">
      <c r="A14" s="19"/>
      <c r="B14" s="20"/>
      <c r="C14" s="19"/>
      <c r="D14" s="20"/>
      <c r="E14" s="20"/>
    </row>
    <row r="15" spans="1:5" x14ac:dyDescent="0.35">
      <c r="A15" s="19"/>
      <c r="B15" s="20"/>
      <c r="C15" s="19"/>
      <c r="D15" s="20"/>
      <c r="E15" s="20"/>
    </row>
    <row r="16" spans="1:5" x14ac:dyDescent="0.35">
      <c r="A16" s="19"/>
      <c r="B16" s="20"/>
      <c r="C16" s="19"/>
      <c r="D16" s="20"/>
      <c r="E16" s="20"/>
    </row>
    <row r="17" spans="1:5" x14ac:dyDescent="0.35">
      <c r="A17" s="19"/>
      <c r="B17" s="19"/>
      <c r="C17" s="19"/>
      <c r="D17" s="19"/>
      <c r="E17" s="19"/>
    </row>
    <row r="18" spans="1:5" x14ac:dyDescent="0.35">
      <c r="A18" s="19"/>
      <c r="B18" s="19"/>
      <c r="C18" s="19"/>
      <c r="D18" s="19"/>
      <c r="E18" s="19"/>
    </row>
    <row r="19" spans="1:5" x14ac:dyDescent="0.35">
      <c r="A19" s="9"/>
      <c r="B19" s="9"/>
      <c r="C19" s="9"/>
      <c r="D19" s="9"/>
      <c r="E19" s="9"/>
    </row>
    <row r="20" spans="1:5" x14ac:dyDescent="0.35">
      <c r="A20" s="9"/>
      <c r="B20" s="9"/>
      <c r="C20" s="9"/>
      <c r="D20" s="9"/>
      <c r="E20" s="9"/>
    </row>
  </sheetData>
  <mergeCells count="2">
    <mergeCell ref="A1:E1"/>
    <mergeCell ref="A2:E2"/>
  </mergeCells>
  <hyperlinks>
    <hyperlink ref="C4" r:id="rId1" xr:uid="{87BEDC99-3075-4752-B42F-6C96D4657209}"/>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498F5-B4ED-4541-B031-A7F03ECC3C50}">
  <sheetPr codeName="Лист12"/>
  <dimension ref="A1:E20"/>
  <sheetViews>
    <sheetView zoomScale="90" zoomScaleNormal="90" workbookViewId="0">
      <selection activeCell="A2" sqref="A2:E2"/>
    </sheetView>
  </sheetViews>
  <sheetFormatPr defaultRowHeight="18" x14ac:dyDescent="0.35"/>
  <cols>
    <col min="1" max="1" width="8.88671875" style="7"/>
    <col min="2" max="2" width="40" style="7" customWidth="1"/>
    <col min="3" max="3" width="19.109375" style="7" customWidth="1"/>
    <col min="4" max="4" width="30.33203125" style="7" customWidth="1"/>
    <col min="5" max="5" width="20.33203125" style="7" customWidth="1"/>
    <col min="6" max="16384" width="8.88671875" style="7"/>
  </cols>
  <sheetData>
    <row r="1" spans="1:5" x14ac:dyDescent="0.35">
      <c r="A1" s="40" t="s">
        <v>311</v>
      </c>
      <c r="B1" s="40"/>
      <c r="C1" s="40"/>
      <c r="D1" s="40"/>
      <c r="E1" s="40"/>
    </row>
    <row r="2" spans="1:5" ht="90" customHeight="1" x14ac:dyDescent="0.35">
      <c r="A2" s="41" t="s">
        <v>222</v>
      </c>
      <c r="B2" s="41"/>
      <c r="C2" s="41"/>
      <c r="D2" s="41"/>
      <c r="E2" s="41"/>
    </row>
    <row r="3" spans="1:5" x14ac:dyDescent="0.35">
      <c r="A3" s="38" t="s">
        <v>27</v>
      </c>
      <c r="B3" s="38" t="s">
        <v>20</v>
      </c>
      <c r="C3" s="38" t="s">
        <v>30</v>
      </c>
      <c r="D3" s="38" t="s">
        <v>29</v>
      </c>
      <c r="E3" s="38" t="s">
        <v>31</v>
      </c>
    </row>
    <row r="4" spans="1:5" ht="43.2" x14ac:dyDescent="0.35">
      <c r="A4" s="3">
        <v>1</v>
      </c>
      <c r="B4" s="35" t="s">
        <v>203</v>
      </c>
      <c r="C4" s="21" t="s">
        <v>53</v>
      </c>
      <c r="D4" s="35" t="s">
        <v>204</v>
      </c>
      <c r="E4" s="15"/>
    </row>
    <row r="5" spans="1:5" x14ac:dyDescent="0.35">
      <c r="A5" s="3">
        <v>2</v>
      </c>
      <c r="B5" s="22" t="s">
        <v>214</v>
      </c>
      <c r="C5" s="3"/>
      <c r="D5" s="35" t="s">
        <v>215</v>
      </c>
      <c r="E5" s="15"/>
    </row>
    <row r="6" spans="1:5" ht="158.4" customHeight="1" x14ac:dyDescent="0.35">
      <c r="A6" s="3">
        <v>3</v>
      </c>
      <c r="B6" s="2" t="s">
        <v>216</v>
      </c>
      <c r="C6" s="3"/>
      <c r="D6" s="35" t="s">
        <v>217</v>
      </c>
      <c r="E6" s="23" t="s">
        <v>56</v>
      </c>
    </row>
    <row r="7" spans="1:5" ht="108" x14ac:dyDescent="0.35">
      <c r="A7" s="3">
        <v>4</v>
      </c>
      <c r="B7" s="22" t="s">
        <v>218</v>
      </c>
      <c r="C7" s="3"/>
      <c r="D7" s="35" t="s">
        <v>221</v>
      </c>
      <c r="E7" s="15" t="s">
        <v>57</v>
      </c>
    </row>
    <row r="8" spans="1:5" x14ac:dyDescent="0.35">
      <c r="A8" s="19"/>
      <c r="B8" s="20"/>
      <c r="C8" s="19"/>
      <c r="D8" s="20"/>
      <c r="E8" s="20"/>
    </row>
    <row r="9" spans="1:5" x14ac:dyDescent="0.35">
      <c r="A9" s="19"/>
      <c r="B9" s="20"/>
      <c r="C9" s="19"/>
      <c r="D9" s="20"/>
      <c r="E9" s="20"/>
    </row>
    <row r="10" spans="1:5" x14ac:dyDescent="0.35">
      <c r="A10" s="19"/>
      <c r="B10" s="20"/>
      <c r="C10" s="19"/>
      <c r="D10" s="20"/>
      <c r="E10" s="20"/>
    </row>
    <row r="11" spans="1:5" x14ac:dyDescent="0.35">
      <c r="A11" s="19"/>
      <c r="B11" s="20"/>
      <c r="C11" s="19"/>
      <c r="D11" s="20"/>
      <c r="E11" s="20"/>
    </row>
    <row r="12" spans="1:5" x14ac:dyDescent="0.35">
      <c r="A12" s="19"/>
      <c r="B12" s="20"/>
      <c r="C12" s="19"/>
      <c r="D12" s="20"/>
      <c r="E12" s="20"/>
    </row>
    <row r="13" spans="1:5" x14ac:dyDescent="0.35">
      <c r="A13" s="19"/>
      <c r="B13" s="20"/>
      <c r="C13" s="19"/>
      <c r="D13" s="20"/>
      <c r="E13" s="20"/>
    </row>
    <row r="14" spans="1:5" x14ac:dyDescent="0.35">
      <c r="A14" s="19"/>
      <c r="B14" s="20"/>
      <c r="C14" s="19"/>
      <c r="D14" s="20"/>
      <c r="E14" s="20"/>
    </row>
    <row r="15" spans="1:5" x14ac:dyDescent="0.35">
      <c r="A15" s="19"/>
      <c r="B15" s="20"/>
      <c r="C15" s="19"/>
      <c r="D15" s="20"/>
      <c r="E15" s="20"/>
    </row>
    <row r="16" spans="1:5" x14ac:dyDescent="0.35">
      <c r="A16" s="19"/>
      <c r="B16" s="20"/>
      <c r="C16" s="19"/>
      <c r="D16" s="20"/>
      <c r="E16" s="20"/>
    </row>
    <row r="17" spans="1:5" x14ac:dyDescent="0.35">
      <c r="A17" s="19"/>
      <c r="B17" s="19"/>
      <c r="C17" s="19"/>
      <c r="D17" s="19"/>
      <c r="E17" s="19"/>
    </row>
    <row r="18" spans="1:5" x14ac:dyDescent="0.35">
      <c r="A18" s="19"/>
      <c r="B18" s="19"/>
      <c r="C18" s="19"/>
      <c r="D18" s="19"/>
      <c r="E18" s="19"/>
    </row>
    <row r="19" spans="1:5" x14ac:dyDescent="0.35">
      <c r="A19" s="9"/>
      <c r="B19" s="9"/>
      <c r="C19" s="9"/>
      <c r="D19" s="9"/>
      <c r="E19" s="9"/>
    </row>
    <row r="20" spans="1:5" x14ac:dyDescent="0.35">
      <c r="A20" s="9"/>
      <c r="B20" s="9"/>
      <c r="C20" s="9"/>
      <c r="D20" s="9"/>
      <c r="E20" s="9"/>
    </row>
  </sheetData>
  <mergeCells count="2">
    <mergeCell ref="A1:E1"/>
    <mergeCell ref="A2:E2"/>
  </mergeCells>
  <hyperlinks>
    <hyperlink ref="C4" r:id="rId1" xr:uid="{BC2FFE27-C951-4D2A-BBFF-3E172BEB8C8D}"/>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A834A-8C24-45C7-81DE-3EB521B2A2F0}">
  <sheetPr codeName="Лист13"/>
  <dimension ref="A1:E20"/>
  <sheetViews>
    <sheetView zoomScale="60" zoomScaleNormal="60" workbookViewId="0">
      <selection activeCell="I9" sqref="I9"/>
    </sheetView>
  </sheetViews>
  <sheetFormatPr defaultRowHeight="18" x14ac:dyDescent="0.35"/>
  <cols>
    <col min="1" max="1" width="8.88671875" style="7"/>
    <col min="2" max="2" width="40" style="7" customWidth="1"/>
    <col min="3" max="3" width="19.109375" style="7" customWidth="1"/>
    <col min="4" max="4" width="30.33203125" style="7" customWidth="1"/>
    <col min="5" max="5" width="20.33203125" style="7" customWidth="1"/>
    <col min="6" max="16384" width="8.88671875" style="7"/>
  </cols>
  <sheetData>
    <row r="1" spans="1:5" x14ac:dyDescent="0.35">
      <c r="A1" s="40" t="s">
        <v>312</v>
      </c>
      <c r="B1" s="40"/>
      <c r="C1" s="40"/>
      <c r="D1" s="40"/>
      <c r="E1" s="40"/>
    </row>
    <row r="2" spans="1:5" ht="90" customHeight="1" x14ac:dyDescent="0.35">
      <c r="A2" s="41" t="s">
        <v>223</v>
      </c>
      <c r="B2" s="41"/>
      <c r="C2" s="41"/>
      <c r="D2" s="41"/>
      <c r="E2" s="41"/>
    </row>
    <row r="3" spans="1:5" x14ac:dyDescent="0.35">
      <c r="A3" s="38" t="s">
        <v>27</v>
      </c>
      <c r="B3" s="38" t="s">
        <v>20</v>
      </c>
      <c r="C3" s="38" t="s">
        <v>30</v>
      </c>
      <c r="D3" s="38" t="s">
        <v>29</v>
      </c>
      <c r="E3" s="38" t="s">
        <v>31</v>
      </c>
    </row>
    <row r="4" spans="1:5" ht="43.2" x14ac:dyDescent="0.35">
      <c r="A4" s="3">
        <v>1</v>
      </c>
      <c r="B4" s="35" t="s">
        <v>203</v>
      </c>
      <c r="C4" s="21" t="s">
        <v>37</v>
      </c>
      <c r="D4" s="35" t="s">
        <v>204</v>
      </c>
      <c r="E4" s="15"/>
    </row>
    <row r="5" spans="1:5" ht="36" x14ac:dyDescent="0.35">
      <c r="A5" s="3">
        <v>2</v>
      </c>
      <c r="B5" s="35" t="s">
        <v>227</v>
      </c>
      <c r="C5" s="3"/>
      <c r="D5" s="35" t="s">
        <v>205</v>
      </c>
      <c r="E5" s="15"/>
    </row>
    <row r="6" spans="1:5" ht="54" x14ac:dyDescent="0.35">
      <c r="A6" s="3">
        <v>3</v>
      </c>
      <c r="B6" s="35" t="s">
        <v>206</v>
      </c>
      <c r="C6" s="3"/>
      <c r="D6" s="35" t="s">
        <v>207</v>
      </c>
      <c r="E6" s="15"/>
    </row>
    <row r="7" spans="1:5" ht="54" x14ac:dyDescent="0.35">
      <c r="A7" s="3">
        <v>4</v>
      </c>
      <c r="B7" s="15" t="s">
        <v>224</v>
      </c>
      <c r="C7" s="3" t="s">
        <v>58</v>
      </c>
      <c r="D7" s="35" t="s">
        <v>333</v>
      </c>
      <c r="E7" s="15"/>
    </row>
    <row r="8" spans="1:5" ht="54" x14ac:dyDescent="0.35">
      <c r="A8" s="3">
        <v>5</v>
      </c>
      <c r="B8" s="15" t="s">
        <v>225</v>
      </c>
      <c r="C8" s="3">
        <v>1</v>
      </c>
      <c r="D8" s="35" t="s">
        <v>210</v>
      </c>
      <c r="E8" s="15"/>
    </row>
    <row r="9" spans="1:5" ht="36" x14ac:dyDescent="0.35">
      <c r="A9" s="3">
        <v>6</v>
      </c>
      <c r="B9" s="15" t="s">
        <v>211</v>
      </c>
      <c r="C9" s="3" t="s">
        <v>38</v>
      </c>
      <c r="D9" s="35" t="s">
        <v>333</v>
      </c>
      <c r="E9" s="15"/>
    </row>
    <row r="10" spans="1:5" ht="36" x14ac:dyDescent="0.35">
      <c r="A10" s="3">
        <v>7</v>
      </c>
      <c r="B10" s="15" t="s">
        <v>212</v>
      </c>
      <c r="C10" s="3">
        <v>0</v>
      </c>
      <c r="D10" s="35" t="s">
        <v>213</v>
      </c>
      <c r="E10" s="15"/>
    </row>
    <row r="11" spans="1:5" x14ac:dyDescent="0.35">
      <c r="A11" s="3">
        <v>8</v>
      </c>
      <c r="B11" s="22" t="s">
        <v>214</v>
      </c>
      <c r="C11" s="3"/>
      <c r="D11" s="35" t="s">
        <v>215</v>
      </c>
      <c r="E11" s="15"/>
    </row>
    <row r="12" spans="1:5" ht="116.4" customHeight="1" x14ac:dyDescent="0.35">
      <c r="A12" s="3">
        <v>9</v>
      </c>
      <c r="B12" s="2" t="s">
        <v>216</v>
      </c>
      <c r="C12" s="3"/>
      <c r="D12" s="35" t="s">
        <v>217</v>
      </c>
      <c r="E12" s="23" t="s">
        <v>59</v>
      </c>
    </row>
    <row r="13" spans="1:5" ht="90" x14ac:dyDescent="0.35">
      <c r="A13" s="3">
        <v>10</v>
      </c>
      <c r="B13" s="22" t="s">
        <v>218</v>
      </c>
      <c r="C13" s="3"/>
      <c r="D13" s="15" t="s">
        <v>226</v>
      </c>
      <c r="E13" s="15" t="s">
        <v>60</v>
      </c>
    </row>
    <row r="14" spans="1:5" x14ac:dyDescent="0.35">
      <c r="A14" s="19"/>
      <c r="B14" s="20"/>
      <c r="C14" s="19"/>
      <c r="D14" s="20"/>
      <c r="E14" s="20"/>
    </row>
    <row r="15" spans="1:5" x14ac:dyDescent="0.35">
      <c r="A15" s="19"/>
      <c r="B15" s="20"/>
      <c r="C15" s="19"/>
      <c r="D15" s="20"/>
      <c r="E15" s="20"/>
    </row>
    <row r="16" spans="1:5" x14ac:dyDescent="0.35">
      <c r="A16" s="19"/>
      <c r="B16" s="20"/>
      <c r="C16" s="19"/>
      <c r="D16" s="20"/>
      <c r="E16" s="20"/>
    </row>
    <row r="17" spans="1:5" x14ac:dyDescent="0.35">
      <c r="A17" s="19"/>
      <c r="B17" s="19"/>
      <c r="C17" s="19"/>
      <c r="D17" s="19"/>
      <c r="E17" s="19"/>
    </row>
    <row r="18" spans="1:5" x14ac:dyDescent="0.35">
      <c r="A18" s="19"/>
      <c r="B18" s="19"/>
      <c r="C18" s="19"/>
      <c r="D18" s="19"/>
      <c r="E18" s="19"/>
    </row>
    <row r="19" spans="1:5" x14ac:dyDescent="0.35">
      <c r="A19" s="9"/>
      <c r="B19" s="9"/>
      <c r="C19" s="9"/>
      <c r="D19" s="9"/>
      <c r="E19" s="9"/>
    </row>
    <row r="20" spans="1:5" x14ac:dyDescent="0.35">
      <c r="A20" s="9"/>
      <c r="B20" s="9"/>
      <c r="C20" s="9"/>
      <c r="D20" s="9"/>
      <c r="E20" s="9"/>
    </row>
  </sheetData>
  <mergeCells count="2">
    <mergeCell ref="A1:E1"/>
    <mergeCell ref="A2:E2"/>
  </mergeCells>
  <hyperlinks>
    <hyperlink ref="C4" r:id="rId1" xr:uid="{0B6EF4A4-12A2-4C11-99E9-E54DC3E56F5B}"/>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463A9-4167-405C-BBD5-4132C0C495A9}">
  <sheetPr codeName="Лист14"/>
  <dimension ref="A1:E20"/>
  <sheetViews>
    <sheetView zoomScale="60" zoomScaleNormal="60" workbookViewId="0">
      <selection activeCell="J12" sqref="J12"/>
    </sheetView>
  </sheetViews>
  <sheetFormatPr defaultRowHeight="18" x14ac:dyDescent="0.35"/>
  <cols>
    <col min="1" max="1" width="8.88671875" style="7"/>
    <col min="2" max="2" width="40" style="7" customWidth="1"/>
    <col min="3" max="3" width="19.109375" style="7" customWidth="1"/>
    <col min="4" max="4" width="30.33203125" style="7" customWidth="1"/>
    <col min="5" max="5" width="20.33203125" style="7" customWidth="1"/>
    <col min="6" max="16384" width="8.88671875" style="7"/>
  </cols>
  <sheetData>
    <row r="1" spans="1:5" x14ac:dyDescent="0.35">
      <c r="A1" s="40" t="s">
        <v>313</v>
      </c>
      <c r="B1" s="40"/>
      <c r="C1" s="40"/>
      <c r="D1" s="40"/>
      <c r="E1" s="40"/>
    </row>
    <row r="2" spans="1:5" ht="77.400000000000006" customHeight="1" x14ac:dyDescent="0.35">
      <c r="A2" s="44" t="s">
        <v>228</v>
      </c>
      <c r="B2" s="44"/>
      <c r="C2" s="44"/>
      <c r="D2" s="44"/>
      <c r="E2" s="44"/>
    </row>
    <row r="3" spans="1:5" x14ac:dyDescent="0.35">
      <c r="A3" s="38" t="s">
        <v>27</v>
      </c>
      <c r="B3" s="38" t="s">
        <v>20</v>
      </c>
      <c r="C3" s="38" t="s">
        <v>30</v>
      </c>
      <c r="D3" s="38" t="s">
        <v>29</v>
      </c>
      <c r="E3" s="38" t="s">
        <v>31</v>
      </c>
    </row>
    <row r="4" spans="1:5" ht="43.2" x14ac:dyDescent="0.35">
      <c r="A4" s="3">
        <v>1</v>
      </c>
      <c r="B4" s="35" t="s">
        <v>203</v>
      </c>
      <c r="C4" s="21" t="s">
        <v>37</v>
      </c>
      <c r="D4" s="35" t="s">
        <v>204</v>
      </c>
      <c r="E4" s="25"/>
    </row>
    <row r="5" spans="1:5" ht="36" x14ac:dyDescent="0.35">
      <c r="A5" s="3">
        <v>2</v>
      </c>
      <c r="B5" s="35" t="s">
        <v>227</v>
      </c>
      <c r="C5" s="3"/>
      <c r="D5" s="35" t="s">
        <v>205</v>
      </c>
      <c r="E5" s="25"/>
    </row>
    <row r="6" spans="1:5" ht="54" x14ac:dyDescent="0.35">
      <c r="A6" s="3">
        <v>3</v>
      </c>
      <c r="B6" s="35" t="s">
        <v>206</v>
      </c>
      <c r="C6" s="3"/>
      <c r="D6" s="35" t="s">
        <v>207</v>
      </c>
      <c r="E6" s="25"/>
    </row>
    <row r="7" spans="1:5" ht="36" x14ac:dyDescent="0.35">
      <c r="A7" s="3">
        <v>4</v>
      </c>
      <c r="B7" s="35" t="s">
        <v>208</v>
      </c>
      <c r="C7" s="3" t="s">
        <v>39</v>
      </c>
      <c r="D7" s="35" t="s">
        <v>333</v>
      </c>
      <c r="E7" s="25"/>
    </row>
    <row r="8" spans="1:5" ht="36" x14ac:dyDescent="0.35">
      <c r="A8" s="3">
        <v>5</v>
      </c>
      <c r="B8" s="35" t="s">
        <v>209</v>
      </c>
      <c r="C8" s="3">
        <v>99999</v>
      </c>
      <c r="D8" s="35" t="s">
        <v>210</v>
      </c>
      <c r="E8" s="25"/>
    </row>
    <row r="9" spans="1:5" ht="36" x14ac:dyDescent="0.35">
      <c r="A9" s="3">
        <v>6</v>
      </c>
      <c r="B9" s="35" t="s">
        <v>211</v>
      </c>
      <c r="C9" s="3" t="s">
        <v>38</v>
      </c>
      <c r="D9" s="35" t="s">
        <v>333</v>
      </c>
      <c r="E9" s="25"/>
    </row>
    <row r="10" spans="1:5" ht="36" x14ac:dyDescent="0.35">
      <c r="A10" s="3">
        <v>7</v>
      </c>
      <c r="B10" s="35" t="s">
        <v>212</v>
      </c>
      <c r="C10" s="3">
        <v>1</v>
      </c>
      <c r="D10" s="35" t="s">
        <v>213</v>
      </c>
      <c r="E10" s="25"/>
    </row>
    <row r="11" spans="1:5" x14ac:dyDescent="0.35">
      <c r="A11" s="3">
        <v>8</v>
      </c>
      <c r="B11" s="22" t="s">
        <v>214</v>
      </c>
      <c r="C11" s="3"/>
      <c r="D11" s="35" t="s">
        <v>215</v>
      </c>
      <c r="E11" s="25"/>
    </row>
    <row r="12" spans="1:5" ht="144" x14ac:dyDescent="0.35">
      <c r="A12" s="3">
        <v>9</v>
      </c>
      <c r="B12" s="2" t="s">
        <v>216</v>
      </c>
      <c r="C12" s="3"/>
      <c r="D12" s="35" t="s">
        <v>217</v>
      </c>
      <c r="E12" s="25" t="s">
        <v>67</v>
      </c>
    </row>
    <row r="13" spans="1:5" ht="108" x14ac:dyDescent="0.35">
      <c r="A13" s="3">
        <v>10</v>
      </c>
      <c r="B13" s="22" t="s">
        <v>218</v>
      </c>
      <c r="C13" s="3"/>
      <c r="D13" s="25" t="s">
        <v>229</v>
      </c>
      <c r="E13" s="25" t="s">
        <v>68</v>
      </c>
    </row>
    <row r="14" spans="1:5" x14ac:dyDescent="0.35">
      <c r="A14" s="19"/>
      <c r="B14" s="20"/>
      <c r="C14" s="19"/>
      <c r="D14" s="20"/>
      <c r="E14" s="20"/>
    </row>
    <row r="15" spans="1:5" x14ac:dyDescent="0.35">
      <c r="A15" s="19"/>
      <c r="B15" s="20"/>
      <c r="C15" s="19"/>
      <c r="D15" s="20"/>
      <c r="E15" s="20"/>
    </row>
    <row r="16" spans="1:5" x14ac:dyDescent="0.35">
      <c r="A16" s="19"/>
      <c r="B16" s="20"/>
      <c r="C16" s="19"/>
      <c r="D16" s="20"/>
      <c r="E16" s="20"/>
    </row>
    <row r="17" spans="1:5" x14ac:dyDescent="0.35">
      <c r="A17" s="19"/>
      <c r="B17" s="19"/>
      <c r="C17" s="19"/>
      <c r="D17" s="19"/>
      <c r="E17" s="19"/>
    </row>
    <row r="18" spans="1:5" x14ac:dyDescent="0.35">
      <c r="A18" s="19"/>
      <c r="B18" s="19"/>
      <c r="C18" s="19"/>
      <c r="D18" s="19"/>
      <c r="E18" s="19"/>
    </row>
    <row r="19" spans="1:5" x14ac:dyDescent="0.35">
      <c r="A19" s="9"/>
      <c r="B19" s="9"/>
      <c r="C19" s="9"/>
      <c r="D19" s="9"/>
      <c r="E19" s="9"/>
    </row>
    <row r="20" spans="1:5" x14ac:dyDescent="0.35">
      <c r="A20" s="9"/>
      <c r="B20" s="9"/>
      <c r="C20" s="9"/>
      <c r="D20" s="9"/>
      <c r="E20" s="9"/>
    </row>
  </sheetData>
  <mergeCells count="2">
    <mergeCell ref="A1:E1"/>
    <mergeCell ref="A2:E2"/>
  </mergeCells>
  <hyperlinks>
    <hyperlink ref="C4" r:id="rId1" xr:uid="{007BA707-F88F-4A4D-97A6-E556B1C81D2F}"/>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FC5446-964B-4FD2-B169-07E1FE5D5E21}">
  <sheetPr codeName="Лист15"/>
  <dimension ref="A1:E20"/>
  <sheetViews>
    <sheetView zoomScale="70" zoomScaleNormal="70" workbookViewId="0">
      <selection activeCell="H10" sqref="H10"/>
    </sheetView>
  </sheetViews>
  <sheetFormatPr defaultRowHeight="18" x14ac:dyDescent="0.35"/>
  <cols>
    <col min="1" max="1" width="8.88671875" style="7"/>
    <col min="2" max="2" width="40" style="7" customWidth="1"/>
    <col min="3" max="3" width="20.44140625" style="7" customWidth="1"/>
    <col min="4" max="4" width="30.33203125" style="7" customWidth="1"/>
    <col min="5" max="5" width="20.33203125" style="7" customWidth="1"/>
    <col min="6" max="16384" width="8.88671875" style="7"/>
  </cols>
  <sheetData>
    <row r="1" spans="1:5" x14ac:dyDescent="0.35">
      <c r="A1" s="40" t="s">
        <v>314</v>
      </c>
      <c r="B1" s="40"/>
      <c r="C1" s="40"/>
      <c r="D1" s="40"/>
      <c r="E1" s="40"/>
    </row>
    <row r="2" spans="1:5" ht="77.400000000000006" customHeight="1" x14ac:dyDescent="0.35">
      <c r="A2" s="44" t="s">
        <v>228</v>
      </c>
      <c r="B2" s="44"/>
      <c r="C2" s="44"/>
      <c r="D2" s="44"/>
      <c r="E2" s="44"/>
    </row>
    <row r="3" spans="1:5" x14ac:dyDescent="0.35">
      <c r="A3" s="38" t="s">
        <v>27</v>
      </c>
      <c r="B3" s="38" t="s">
        <v>20</v>
      </c>
      <c r="C3" s="38" t="s">
        <v>30</v>
      </c>
      <c r="D3" s="38" t="s">
        <v>29</v>
      </c>
      <c r="E3" s="38" t="s">
        <v>31</v>
      </c>
    </row>
    <row r="4" spans="1:5" ht="43.2" x14ac:dyDescent="0.35">
      <c r="A4" s="3">
        <v>1</v>
      </c>
      <c r="B4" s="35" t="s">
        <v>203</v>
      </c>
      <c r="C4" s="21" t="s">
        <v>37</v>
      </c>
      <c r="D4" s="35" t="s">
        <v>204</v>
      </c>
      <c r="E4" s="25"/>
    </row>
    <row r="5" spans="1:5" ht="36" x14ac:dyDescent="0.35">
      <c r="A5" s="3">
        <v>2</v>
      </c>
      <c r="B5" s="35" t="s">
        <v>227</v>
      </c>
      <c r="C5" s="3"/>
      <c r="D5" s="35" t="s">
        <v>205</v>
      </c>
      <c r="E5" s="25"/>
    </row>
    <row r="6" spans="1:5" ht="54" x14ac:dyDescent="0.35">
      <c r="A6" s="3">
        <v>3</v>
      </c>
      <c r="B6" s="35" t="s">
        <v>206</v>
      </c>
      <c r="C6" s="3"/>
      <c r="D6" s="35" t="s">
        <v>207</v>
      </c>
      <c r="E6" s="25"/>
    </row>
    <row r="7" spans="1:5" ht="36" x14ac:dyDescent="0.35">
      <c r="A7" s="3">
        <v>4</v>
      </c>
      <c r="B7" s="25" t="s">
        <v>208</v>
      </c>
      <c r="C7" s="3" t="s">
        <v>61</v>
      </c>
      <c r="D7" s="35" t="s">
        <v>333</v>
      </c>
      <c r="E7" s="25"/>
    </row>
    <row r="8" spans="1:5" ht="36" x14ac:dyDescent="0.35">
      <c r="A8" s="3">
        <v>5</v>
      </c>
      <c r="B8" s="25" t="s">
        <v>209</v>
      </c>
      <c r="C8" s="3">
        <v>611945025</v>
      </c>
      <c r="D8" s="35" t="s">
        <v>210</v>
      </c>
      <c r="E8" s="25"/>
    </row>
    <row r="9" spans="1:5" ht="36" x14ac:dyDescent="0.35">
      <c r="A9" s="3">
        <v>6</v>
      </c>
      <c r="B9" s="25" t="s">
        <v>211</v>
      </c>
      <c r="C9" s="3" t="s">
        <v>62</v>
      </c>
      <c r="D9" s="35" t="s">
        <v>333</v>
      </c>
      <c r="E9" s="25"/>
    </row>
    <row r="10" spans="1:5" ht="36" x14ac:dyDescent="0.35">
      <c r="A10" s="3">
        <v>7</v>
      </c>
      <c r="B10" s="25" t="s">
        <v>212</v>
      </c>
      <c r="C10" s="3">
        <v>1</v>
      </c>
      <c r="D10" s="35" t="s">
        <v>213</v>
      </c>
      <c r="E10" s="25"/>
    </row>
    <row r="11" spans="1:5" ht="36" x14ac:dyDescent="0.35">
      <c r="A11" s="3">
        <v>8</v>
      </c>
      <c r="B11" s="35" t="s">
        <v>208</v>
      </c>
      <c r="C11" s="3" t="s">
        <v>63</v>
      </c>
      <c r="D11" s="35" t="s">
        <v>333</v>
      </c>
      <c r="E11" s="25"/>
    </row>
    <row r="12" spans="1:5" ht="36" x14ac:dyDescent="0.35">
      <c r="A12" s="3">
        <v>9</v>
      </c>
      <c r="B12" s="35" t="s">
        <v>209</v>
      </c>
      <c r="C12" s="3">
        <v>611952521</v>
      </c>
      <c r="D12" s="35" t="s">
        <v>210</v>
      </c>
      <c r="E12" s="25"/>
    </row>
    <row r="13" spans="1:5" ht="36" x14ac:dyDescent="0.35">
      <c r="A13" s="3">
        <v>10</v>
      </c>
      <c r="B13" s="35" t="s">
        <v>211</v>
      </c>
      <c r="C13" s="3" t="s">
        <v>64</v>
      </c>
      <c r="D13" s="35" t="s">
        <v>333</v>
      </c>
      <c r="E13" s="25"/>
    </row>
    <row r="14" spans="1:5" ht="36" x14ac:dyDescent="0.35">
      <c r="A14" s="3">
        <v>11</v>
      </c>
      <c r="B14" s="35" t="s">
        <v>212</v>
      </c>
      <c r="C14" s="3">
        <v>2</v>
      </c>
      <c r="D14" s="35" t="s">
        <v>213</v>
      </c>
      <c r="E14" s="25"/>
    </row>
    <row r="15" spans="1:5" x14ac:dyDescent="0.35">
      <c r="A15" s="3">
        <v>12</v>
      </c>
      <c r="B15" s="22" t="s">
        <v>214</v>
      </c>
      <c r="C15" s="3"/>
      <c r="D15" s="35" t="s">
        <v>215</v>
      </c>
      <c r="E15" s="25"/>
    </row>
    <row r="16" spans="1:5" ht="129" customHeight="1" x14ac:dyDescent="0.35">
      <c r="A16" s="3">
        <v>13</v>
      </c>
      <c r="B16" s="2" t="s">
        <v>216</v>
      </c>
      <c r="C16" s="3"/>
      <c r="D16" s="35" t="s">
        <v>217</v>
      </c>
      <c r="E16" s="23" t="s">
        <v>65</v>
      </c>
    </row>
    <row r="17" spans="1:5" ht="144" x14ac:dyDescent="0.35">
      <c r="A17" s="3">
        <v>14</v>
      </c>
      <c r="B17" s="22" t="s">
        <v>218</v>
      </c>
      <c r="C17" s="3"/>
      <c r="D17" s="35" t="s">
        <v>221</v>
      </c>
      <c r="E17" s="25" t="s">
        <v>66</v>
      </c>
    </row>
    <row r="18" spans="1:5" x14ac:dyDescent="0.35">
      <c r="A18" s="19"/>
      <c r="B18" s="19"/>
      <c r="C18" s="19"/>
      <c r="D18" s="19"/>
      <c r="E18" s="19"/>
    </row>
    <row r="19" spans="1:5" x14ac:dyDescent="0.35">
      <c r="A19" s="9"/>
      <c r="B19" s="9"/>
      <c r="C19" s="9"/>
      <c r="D19" s="9"/>
      <c r="E19" s="9"/>
    </row>
    <row r="20" spans="1:5" x14ac:dyDescent="0.35">
      <c r="A20" s="9"/>
      <c r="B20" s="9"/>
      <c r="C20" s="9"/>
      <c r="D20" s="9"/>
      <c r="E20" s="9"/>
    </row>
  </sheetData>
  <mergeCells count="2">
    <mergeCell ref="A1:E1"/>
    <mergeCell ref="A2:E2"/>
  </mergeCells>
  <hyperlinks>
    <hyperlink ref="C4" r:id="rId1" xr:uid="{5022D504-68DE-47A5-96F4-0FDB625CBA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24BAF-B450-4EA2-9FB3-3DC83866AE62}">
  <sheetPr codeName="Лист16"/>
  <dimension ref="A1:E20"/>
  <sheetViews>
    <sheetView topLeftCell="A13" zoomScale="70" zoomScaleNormal="70" workbookViewId="0">
      <selection activeCell="D17" sqref="D17"/>
    </sheetView>
  </sheetViews>
  <sheetFormatPr defaultRowHeight="18" x14ac:dyDescent="0.35"/>
  <cols>
    <col min="1" max="1" width="8.88671875" style="7"/>
    <col min="2" max="2" width="40" style="7" customWidth="1"/>
    <col min="3" max="3" width="37.109375" style="7" customWidth="1"/>
    <col min="4" max="4" width="30.33203125" style="7" customWidth="1"/>
    <col min="5" max="5" width="20.33203125" style="7" customWidth="1"/>
    <col min="6" max="16384" width="8.88671875" style="7"/>
  </cols>
  <sheetData>
    <row r="1" spans="1:5" x14ac:dyDescent="0.35">
      <c r="A1" s="40" t="s">
        <v>230</v>
      </c>
      <c r="B1" s="40"/>
      <c r="C1" s="40"/>
      <c r="D1" s="40"/>
      <c r="E1" s="40"/>
    </row>
    <row r="2" spans="1:5" ht="150" customHeight="1" x14ac:dyDescent="0.35">
      <c r="A2" s="44" t="s">
        <v>231</v>
      </c>
      <c r="B2" s="44"/>
      <c r="C2" s="44"/>
      <c r="D2" s="44"/>
      <c r="E2" s="44"/>
    </row>
    <row r="3" spans="1:5" x14ac:dyDescent="0.35">
      <c r="A3" s="38" t="s">
        <v>27</v>
      </c>
      <c r="B3" s="38" t="s">
        <v>20</v>
      </c>
      <c r="C3" s="38" t="s">
        <v>30</v>
      </c>
      <c r="D3" s="38" t="s">
        <v>29</v>
      </c>
      <c r="E3" s="38" t="s">
        <v>31</v>
      </c>
    </row>
    <row r="4" spans="1:5" ht="54" x14ac:dyDescent="0.35">
      <c r="A4" s="3">
        <v>1</v>
      </c>
      <c r="B4" s="22" t="s">
        <v>232</v>
      </c>
      <c r="C4" s="25" t="s">
        <v>69</v>
      </c>
      <c r="D4" s="25" t="s">
        <v>252</v>
      </c>
      <c r="E4" s="25"/>
    </row>
    <row r="5" spans="1:5" ht="54" x14ac:dyDescent="0.35">
      <c r="A5" s="3">
        <v>2</v>
      </c>
      <c r="B5" s="25" t="s">
        <v>233</v>
      </c>
      <c r="C5" s="25" t="s">
        <v>234</v>
      </c>
      <c r="D5" s="25" t="s">
        <v>235</v>
      </c>
      <c r="E5" s="25"/>
    </row>
    <row r="6" spans="1:5" ht="72" x14ac:dyDescent="0.35">
      <c r="A6" s="3">
        <v>3</v>
      </c>
      <c r="B6" s="25" t="s">
        <v>236</v>
      </c>
      <c r="C6" s="3" t="s">
        <v>70</v>
      </c>
      <c r="D6" s="25" t="s">
        <v>237</v>
      </c>
      <c r="E6" s="25"/>
    </row>
    <row r="7" spans="1:5" ht="54" x14ac:dyDescent="0.35">
      <c r="A7" s="3">
        <v>4</v>
      </c>
      <c r="B7" s="25" t="s">
        <v>238</v>
      </c>
      <c r="C7" s="3" t="s">
        <v>71</v>
      </c>
      <c r="D7" s="25" t="s">
        <v>239</v>
      </c>
      <c r="E7" s="25"/>
    </row>
    <row r="8" spans="1:5" ht="90" x14ac:dyDescent="0.35">
      <c r="A8" s="3">
        <v>5</v>
      </c>
      <c r="B8" s="25" t="s">
        <v>240</v>
      </c>
      <c r="C8" s="3" t="s">
        <v>72</v>
      </c>
      <c r="D8" s="25" t="s">
        <v>241</v>
      </c>
      <c r="E8" s="25"/>
    </row>
    <row r="9" spans="1:5" ht="72" x14ac:dyDescent="0.35">
      <c r="A9" s="3">
        <v>6</v>
      </c>
      <c r="B9" s="2" t="s">
        <v>242</v>
      </c>
      <c r="C9" s="2" t="s">
        <v>76</v>
      </c>
      <c r="D9" s="2" t="s">
        <v>253</v>
      </c>
      <c r="E9" s="25" t="s">
        <v>243</v>
      </c>
    </row>
    <row r="10" spans="1:5" ht="90" x14ac:dyDescent="0.35">
      <c r="A10" s="3">
        <v>7</v>
      </c>
      <c r="B10" s="25" t="s">
        <v>244</v>
      </c>
      <c r="C10" s="25" t="s">
        <v>73</v>
      </c>
      <c r="D10" s="35" t="s">
        <v>251</v>
      </c>
      <c r="E10" s="25"/>
    </row>
    <row r="11" spans="1:5" ht="54" x14ac:dyDescent="0.35">
      <c r="A11" s="3">
        <v>8</v>
      </c>
      <c r="B11" s="25" t="s">
        <v>245</v>
      </c>
      <c r="C11" s="3" t="s">
        <v>74</v>
      </c>
      <c r="D11" s="25" t="s">
        <v>246</v>
      </c>
      <c r="E11" s="25"/>
    </row>
    <row r="12" spans="1:5" ht="54" x14ac:dyDescent="0.35">
      <c r="A12" s="3">
        <v>9</v>
      </c>
      <c r="B12" s="25" t="s">
        <v>247</v>
      </c>
      <c r="C12" s="3" t="s">
        <v>75</v>
      </c>
      <c r="D12" s="25" t="s">
        <v>248</v>
      </c>
      <c r="E12" s="25"/>
    </row>
    <row r="13" spans="1:5" ht="54" x14ac:dyDescent="0.35">
      <c r="A13" s="3">
        <v>10</v>
      </c>
      <c r="B13" s="2" t="s">
        <v>249</v>
      </c>
      <c r="C13" s="10" t="s">
        <v>77</v>
      </c>
      <c r="D13" s="2" t="s">
        <v>250</v>
      </c>
      <c r="E13" s="26"/>
    </row>
    <row r="14" spans="1:5" ht="36" x14ac:dyDescent="0.35">
      <c r="A14" s="3">
        <v>11</v>
      </c>
      <c r="B14" s="25" t="s">
        <v>254</v>
      </c>
      <c r="C14" s="3"/>
      <c r="D14" s="25" t="s">
        <v>255</v>
      </c>
      <c r="E14" s="25"/>
    </row>
    <row r="15" spans="1:5" x14ac:dyDescent="0.35">
      <c r="A15" s="3">
        <v>12</v>
      </c>
      <c r="B15" s="25" t="s">
        <v>256</v>
      </c>
      <c r="C15" s="3"/>
      <c r="D15" s="25" t="s">
        <v>257</v>
      </c>
      <c r="E15" s="25"/>
    </row>
    <row r="16" spans="1:5" ht="144" x14ac:dyDescent="0.35">
      <c r="A16" s="3">
        <v>13</v>
      </c>
      <c r="B16" s="25" t="s">
        <v>258</v>
      </c>
      <c r="C16" s="3"/>
      <c r="D16" s="25" t="s">
        <v>259</v>
      </c>
      <c r="E16" s="25"/>
    </row>
    <row r="17" spans="1:5" ht="54" x14ac:dyDescent="0.35">
      <c r="A17" s="3">
        <v>14</v>
      </c>
      <c r="B17" s="22" t="s">
        <v>260</v>
      </c>
      <c r="C17" s="26"/>
      <c r="D17" s="2" t="s">
        <v>261</v>
      </c>
      <c r="E17" s="26"/>
    </row>
    <row r="18" spans="1:5" ht="90" x14ac:dyDescent="0.35">
      <c r="A18" s="3">
        <v>15</v>
      </c>
      <c r="B18" s="22" t="s">
        <v>262</v>
      </c>
      <c r="C18" s="22"/>
      <c r="D18" s="2" t="s">
        <v>263</v>
      </c>
      <c r="E18" s="2" t="s">
        <v>264</v>
      </c>
    </row>
    <row r="19" spans="1:5" x14ac:dyDescent="0.35">
      <c r="A19" s="9"/>
      <c r="B19" s="9"/>
      <c r="C19" s="9"/>
      <c r="D19" s="9"/>
      <c r="E19" s="9"/>
    </row>
    <row r="20" spans="1:5" x14ac:dyDescent="0.35">
      <c r="A20" s="9"/>
      <c r="B20" s="9"/>
      <c r="C20" s="9"/>
      <c r="D20" s="9"/>
      <c r="E20" s="9"/>
    </row>
  </sheetData>
  <mergeCells count="2">
    <mergeCell ref="A1:E1"/>
    <mergeCell ref="A2:E2"/>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8A6D2-328A-42E4-A007-E29EEE8E5A08}">
  <sheetPr codeName="Лист17"/>
  <dimension ref="A1:I20"/>
  <sheetViews>
    <sheetView zoomScale="70" zoomScaleNormal="70" workbookViewId="0">
      <selection activeCell="J20" sqref="J20"/>
    </sheetView>
  </sheetViews>
  <sheetFormatPr defaultRowHeight="18" x14ac:dyDescent="0.35"/>
  <cols>
    <col min="1" max="1" width="8.6640625" style="7" customWidth="1"/>
    <col min="2" max="2" width="50.44140625" style="7" customWidth="1"/>
    <col min="3" max="3" width="21.21875" style="7" customWidth="1"/>
    <col min="4" max="4" width="14.44140625" style="7" customWidth="1"/>
    <col min="5" max="5" width="13" style="7" customWidth="1"/>
    <col min="6" max="6" width="19" style="7" customWidth="1"/>
    <col min="7" max="7" width="22" style="7" customWidth="1"/>
    <col min="8" max="8" width="15.44140625" style="7" customWidth="1"/>
    <col min="9" max="9" width="9.5546875" style="7" customWidth="1"/>
    <col min="10" max="11" width="8.88671875" style="7"/>
    <col min="12" max="12" width="20.5546875" style="7" customWidth="1"/>
    <col min="13" max="16384" width="8.88671875" style="7"/>
  </cols>
  <sheetData>
    <row r="1" spans="1:9" x14ac:dyDescent="0.35">
      <c r="H1" s="48" t="s">
        <v>265</v>
      </c>
      <c r="I1" s="49"/>
    </row>
    <row r="2" spans="1:9" x14ac:dyDescent="0.35">
      <c r="H2" s="27" t="s">
        <v>91</v>
      </c>
      <c r="I2" s="24">
        <f>COUNTIF($E$8:$E$20, "New")</f>
        <v>0</v>
      </c>
    </row>
    <row r="3" spans="1:9" x14ac:dyDescent="0.35">
      <c r="H3" s="27" t="s">
        <v>92</v>
      </c>
      <c r="I3" s="24">
        <f>COUNTIF($E$8:$E$20, "In Progress")</f>
        <v>0</v>
      </c>
    </row>
    <row r="4" spans="1:9" x14ac:dyDescent="0.35">
      <c r="H4" s="27" t="s">
        <v>93</v>
      </c>
      <c r="I4" s="24">
        <f>COUNTIF($E$8:$E$20, "Pass")</f>
        <v>11</v>
      </c>
    </row>
    <row r="5" spans="1:9" x14ac:dyDescent="0.35">
      <c r="H5" s="27" t="s">
        <v>94</v>
      </c>
      <c r="I5" s="24">
        <f>COUNTIF($E$8:$E$20, "Fail")</f>
        <v>2</v>
      </c>
    </row>
    <row r="6" spans="1:9" x14ac:dyDescent="0.35">
      <c r="H6" s="27" t="s">
        <v>95</v>
      </c>
      <c r="I6" s="24">
        <f>COUNTIF($E$8:$E$20, "Blocked")</f>
        <v>0</v>
      </c>
    </row>
    <row r="7" spans="1:9" x14ac:dyDescent="0.35">
      <c r="A7" s="1" t="s">
        <v>0</v>
      </c>
      <c r="B7" s="1" t="s">
        <v>269</v>
      </c>
      <c r="C7" s="1" t="s">
        <v>266</v>
      </c>
      <c r="D7" s="1" t="s">
        <v>19</v>
      </c>
      <c r="E7" s="1" t="s">
        <v>107</v>
      </c>
      <c r="F7" s="1" t="s">
        <v>267</v>
      </c>
      <c r="G7" s="1" t="s">
        <v>268</v>
      </c>
    </row>
    <row r="8" spans="1:9" x14ac:dyDescent="0.35">
      <c r="A8" s="3" t="s">
        <v>78</v>
      </c>
      <c r="B8" s="34" t="s">
        <v>302</v>
      </c>
      <c r="C8" s="3" t="s">
        <v>96</v>
      </c>
      <c r="D8" s="3" t="s">
        <v>22</v>
      </c>
      <c r="E8" s="3" t="s">
        <v>93</v>
      </c>
      <c r="F8" s="3" t="s">
        <v>2</v>
      </c>
      <c r="G8" s="3"/>
    </row>
    <row r="9" spans="1:9" x14ac:dyDescent="0.35">
      <c r="A9" s="3" t="s">
        <v>81</v>
      </c>
      <c r="B9" s="35" t="s">
        <v>281</v>
      </c>
      <c r="C9" s="3" t="s">
        <v>96</v>
      </c>
      <c r="D9" s="3" t="s">
        <v>22</v>
      </c>
      <c r="E9" s="3" t="s">
        <v>93</v>
      </c>
      <c r="F9" s="3" t="s">
        <v>4</v>
      </c>
      <c r="G9" s="3"/>
    </row>
    <row r="10" spans="1:9" ht="36" x14ac:dyDescent="0.35">
      <c r="A10" s="3" t="s">
        <v>79</v>
      </c>
      <c r="B10" s="2" t="s">
        <v>133</v>
      </c>
      <c r="C10" s="3" t="s">
        <v>96</v>
      </c>
      <c r="D10" s="3" t="s">
        <v>23</v>
      </c>
      <c r="E10" s="3" t="s">
        <v>94</v>
      </c>
      <c r="F10" s="3" t="s">
        <v>6</v>
      </c>
      <c r="G10" s="3" t="s">
        <v>99</v>
      </c>
    </row>
    <row r="11" spans="1:9" ht="36" x14ac:dyDescent="0.35">
      <c r="A11" s="3" t="s">
        <v>82</v>
      </c>
      <c r="B11" s="2" t="s">
        <v>286</v>
      </c>
      <c r="C11" s="3" t="s">
        <v>96</v>
      </c>
      <c r="D11" s="3" t="s">
        <v>22</v>
      </c>
      <c r="E11" s="3" t="s">
        <v>93</v>
      </c>
      <c r="F11" s="3" t="s">
        <v>15</v>
      </c>
      <c r="G11" s="3"/>
    </row>
    <row r="12" spans="1:9" ht="36" x14ac:dyDescent="0.35">
      <c r="A12" s="3" t="s">
        <v>80</v>
      </c>
      <c r="B12" s="2" t="s">
        <v>287</v>
      </c>
      <c r="C12" s="3" t="s">
        <v>96</v>
      </c>
      <c r="D12" s="3" t="s">
        <v>22</v>
      </c>
      <c r="E12" s="3" t="s">
        <v>93</v>
      </c>
      <c r="F12" s="3" t="s">
        <v>16</v>
      </c>
      <c r="G12" s="3"/>
    </row>
    <row r="13" spans="1:9" ht="36" x14ac:dyDescent="0.35">
      <c r="A13" s="3" t="s">
        <v>83</v>
      </c>
      <c r="B13" s="2" t="s">
        <v>291</v>
      </c>
      <c r="C13" s="3" t="s">
        <v>96</v>
      </c>
      <c r="D13" s="3" t="s">
        <v>23</v>
      </c>
      <c r="E13" s="3" t="s">
        <v>94</v>
      </c>
      <c r="F13" s="3" t="s">
        <v>25</v>
      </c>
      <c r="G13" s="3" t="s">
        <v>100</v>
      </c>
    </row>
    <row r="14" spans="1:9" x14ac:dyDescent="0.35">
      <c r="A14" s="3" t="s">
        <v>84</v>
      </c>
      <c r="B14" s="2" t="s">
        <v>308</v>
      </c>
      <c r="C14" s="3" t="s">
        <v>98</v>
      </c>
      <c r="D14" s="3" t="s">
        <v>22</v>
      </c>
      <c r="E14" s="3" t="s">
        <v>93</v>
      </c>
      <c r="F14" s="3" t="s">
        <v>42</v>
      </c>
      <c r="G14" s="3"/>
    </row>
    <row r="15" spans="1:9" x14ac:dyDescent="0.35">
      <c r="A15" s="3" t="s">
        <v>85</v>
      </c>
      <c r="B15" s="2" t="s">
        <v>292</v>
      </c>
      <c r="C15" s="3" t="s">
        <v>98</v>
      </c>
      <c r="D15" s="3" t="s">
        <v>22</v>
      </c>
      <c r="E15" s="3" t="s">
        <v>93</v>
      </c>
      <c r="F15" s="3" t="s">
        <v>43</v>
      </c>
      <c r="G15" s="3"/>
    </row>
    <row r="16" spans="1:9" x14ac:dyDescent="0.35">
      <c r="A16" s="3" t="s">
        <v>86</v>
      </c>
      <c r="B16" s="2" t="s">
        <v>293</v>
      </c>
      <c r="C16" s="3" t="s">
        <v>98</v>
      </c>
      <c r="D16" s="3" t="s">
        <v>22</v>
      </c>
      <c r="E16" s="3" t="s">
        <v>93</v>
      </c>
      <c r="F16" s="3" t="s">
        <v>44</v>
      </c>
      <c r="G16" s="3"/>
    </row>
    <row r="17" spans="1:7" x14ac:dyDescent="0.35">
      <c r="A17" s="3" t="s">
        <v>87</v>
      </c>
      <c r="B17" s="2" t="s">
        <v>294</v>
      </c>
      <c r="C17" s="3" t="s">
        <v>98</v>
      </c>
      <c r="D17" s="3" t="s">
        <v>22</v>
      </c>
      <c r="E17" s="3" t="s">
        <v>93</v>
      </c>
      <c r="F17" s="3" t="s">
        <v>45</v>
      </c>
      <c r="G17" s="3"/>
    </row>
    <row r="18" spans="1:7" x14ac:dyDescent="0.35">
      <c r="A18" s="3" t="s">
        <v>88</v>
      </c>
      <c r="B18" s="2" t="s">
        <v>295</v>
      </c>
      <c r="C18" s="3" t="s">
        <v>98</v>
      </c>
      <c r="D18" s="3" t="s">
        <v>22</v>
      </c>
      <c r="E18" s="3" t="s">
        <v>93</v>
      </c>
      <c r="F18" s="3" t="s">
        <v>46</v>
      </c>
      <c r="G18" s="3"/>
    </row>
    <row r="19" spans="1:7" ht="36" x14ac:dyDescent="0.35">
      <c r="A19" s="3" t="s">
        <v>89</v>
      </c>
      <c r="B19" s="36" t="s">
        <v>296</v>
      </c>
      <c r="C19" s="3" t="s">
        <v>98</v>
      </c>
      <c r="D19" s="3" t="s">
        <v>22</v>
      </c>
      <c r="E19" s="3" t="s">
        <v>93</v>
      </c>
      <c r="F19" s="3" t="s">
        <v>47</v>
      </c>
      <c r="G19" s="3"/>
    </row>
    <row r="20" spans="1:7" ht="90" x14ac:dyDescent="0.35">
      <c r="A20" s="3" t="s">
        <v>90</v>
      </c>
      <c r="B20" s="35" t="s">
        <v>169</v>
      </c>
      <c r="C20" s="3" t="s">
        <v>97</v>
      </c>
      <c r="D20" s="3" t="s">
        <v>22</v>
      </c>
      <c r="E20" s="3" t="s">
        <v>93</v>
      </c>
      <c r="F20" s="3" t="s">
        <v>51</v>
      </c>
      <c r="G20" s="3" t="s">
        <v>270</v>
      </c>
    </row>
  </sheetData>
  <mergeCells count="1">
    <mergeCell ref="H1:I1"/>
  </mergeCells>
  <phoneticPr fontId="3" type="noConversion"/>
  <conditionalFormatting sqref="E8:E20">
    <cfRule type="containsText" dxfId="6" priority="1" operator="containsText" text="Blocked">
      <formula>NOT(ISERROR(SEARCH("Blocked",E8)))</formula>
    </cfRule>
    <cfRule type="containsText" dxfId="5" priority="2" operator="containsText" text="Fail">
      <formula>NOT(ISERROR(SEARCH("Fail",E8)))</formula>
    </cfRule>
    <cfRule type="containsText" dxfId="4" priority="3" operator="containsText" text="Pass">
      <formula>NOT(ISERROR(SEARCH("Pass",E8)))</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FF60D50-E2DE-45BF-9EBF-4AC6737E9571}">
          <x14:formula1>
            <xm:f>'CL-status'!$A$1:$A$5</xm:f>
          </x14:formula1>
          <xm:sqref>E8:E20</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E3CD5-E656-45C8-BF43-B4F6185102A4}">
  <sheetPr codeName="Лист1"/>
  <dimension ref="A1:N6"/>
  <sheetViews>
    <sheetView tabSelected="1" zoomScale="60" zoomScaleNormal="60" workbookViewId="0">
      <selection activeCell="J2" sqref="J2"/>
    </sheetView>
  </sheetViews>
  <sheetFormatPr defaultRowHeight="18" x14ac:dyDescent="0.35"/>
  <cols>
    <col min="1" max="1" width="10.6640625" style="8" customWidth="1"/>
    <col min="2" max="2" width="25" style="8" customWidth="1"/>
    <col min="3" max="3" width="27.5546875" style="8" customWidth="1"/>
    <col min="4" max="4" width="31.21875" style="8" customWidth="1"/>
    <col min="5" max="5" width="33.6640625" style="8" customWidth="1"/>
    <col min="6" max="6" width="23.5546875" style="8" customWidth="1"/>
    <col min="7" max="7" width="22.77734375" style="8" customWidth="1"/>
    <col min="8" max="8" width="9.88671875" style="8" customWidth="1"/>
    <col min="9" max="9" width="11.109375" style="8" customWidth="1"/>
    <col min="10" max="10" width="18.33203125" style="8" customWidth="1"/>
    <col min="11" max="11" width="22.77734375" style="8" customWidth="1"/>
    <col min="12" max="12" width="50.6640625" style="8" customWidth="1"/>
    <col min="13" max="13" width="14" style="8" customWidth="1"/>
    <col min="14" max="16384" width="8.88671875" style="8"/>
  </cols>
  <sheetData>
    <row r="1" spans="1:14" x14ac:dyDescent="0.35">
      <c r="A1" s="1" t="s">
        <v>0</v>
      </c>
      <c r="B1" s="1" t="s">
        <v>102</v>
      </c>
      <c r="C1" s="1" t="s">
        <v>104</v>
      </c>
      <c r="D1" s="1" t="s">
        <v>105</v>
      </c>
      <c r="E1" s="1" t="s">
        <v>111</v>
      </c>
      <c r="F1" s="1" t="s">
        <v>29</v>
      </c>
      <c r="G1" s="1" t="s">
        <v>103</v>
      </c>
      <c r="H1" s="1" t="s">
        <v>19</v>
      </c>
      <c r="I1" s="1" t="s">
        <v>106</v>
      </c>
      <c r="J1" s="1" t="s">
        <v>112</v>
      </c>
      <c r="K1" s="1" t="s">
        <v>113</v>
      </c>
      <c r="L1" s="1" t="s">
        <v>114</v>
      </c>
      <c r="M1" s="31" t="s">
        <v>115</v>
      </c>
      <c r="N1" s="1" t="s">
        <v>107</v>
      </c>
    </row>
    <row r="2" spans="1:14" ht="162" x14ac:dyDescent="0.35">
      <c r="A2" s="3" t="s">
        <v>99</v>
      </c>
      <c r="B2" s="29" t="s">
        <v>334</v>
      </c>
      <c r="C2" s="2" t="s">
        <v>271</v>
      </c>
      <c r="D2" s="2" t="s">
        <v>272</v>
      </c>
      <c r="E2" s="29" t="s">
        <v>274</v>
      </c>
      <c r="F2" s="2" t="s">
        <v>275</v>
      </c>
      <c r="G2" s="2" t="s">
        <v>335</v>
      </c>
      <c r="H2" s="3" t="s">
        <v>23</v>
      </c>
      <c r="I2" s="3" t="s">
        <v>23</v>
      </c>
      <c r="J2" s="2" t="s">
        <v>349</v>
      </c>
      <c r="K2" s="39" t="s">
        <v>279</v>
      </c>
      <c r="L2" s="2" t="s">
        <v>276</v>
      </c>
      <c r="M2" s="32" t="s">
        <v>277</v>
      </c>
      <c r="N2" s="3" t="s">
        <v>108</v>
      </c>
    </row>
    <row r="3" spans="1:14" ht="162" x14ac:dyDescent="0.35">
      <c r="A3" s="3" t="s">
        <v>100</v>
      </c>
      <c r="B3" s="29" t="s">
        <v>336</v>
      </c>
      <c r="C3" s="2" t="s">
        <v>337</v>
      </c>
      <c r="D3" s="2" t="s">
        <v>272</v>
      </c>
      <c r="E3" s="2" t="s">
        <v>315</v>
      </c>
      <c r="F3" s="2" t="s">
        <v>316</v>
      </c>
      <c r="G3" s="2" t="s">
        <v>338</v>
      </c>
      <c r="H3" s="3" t="s">
        <v>23</v>
      </c>
      <c r="I3" s="3" t="s">
        <v>23</v>
      </c>
      <c r="J3" s="2" t="s">
        <v>349</v>
      </c>
      <c r="K3" s="39" t="s">
        <v>321</v>
      </c>
      <c r="L3" s="2" t="s">
        <v>317</v>
      </c>
      <c r="M3" s="32" t="s">
        <v>278</v>
      </c>
      <c r="N3" s="3" t="s">
        <v>108</v>
      </c>
    </row>
    <row r="4" spans="1:14" ht="234" x14ac:dyDescent="0.35">
      <c r="A4" s="3" t="s">
        <v>101</v>
      </c>
      <c r="B4" s="2" t="s">
        <v>339</v>
      </c>
      <c r="C4" s="2" t="s">
        <v>341</v>
      </c>
      <c r="D4" s="29" t="s">
        <v>318</v>
      </c>
      <c r="E4" s="2" t="s">
        <v>328</v>
      </c>
      <c r="F4" s="2" t="s">
        <v>319</v>
      </c>
      <c r="G4" s="2" t="s">
        <v>340</v>
      </c>
      <c r="H4" s="3" t="s">
        <v>22</v>
      </c>
      <c r="I4" s="3" t="s">
        <v>22</v>
      </c>
      <c r="J4" s="2" t="s">
        <v>349</v>
      </c>
      <c r="K4" s="50" t="s">
        <v>322</v>
      </c>
      <c r="L4" s="2" t="s">
        <v>320</v>
      </c>
      <c r="M4" s="32" t="s">
        <v>277</v>
      </c>
      <c r="N4" s="3" t="s">
        <v>110</v>
      </c>
    </row>
    <row r="5" spans="1:14" ht="266.39999999999998" customHeight="1" x14ac:dyDescent="0.35">
      <c r="A5" s="3" t="s">
        <v>116</v>
      </c>
      <c r="B5" s="2" t="s">
        <v>342</v>
      </c>
      <c r="C5" s="2" t="s">
        <v>323</v>
      </c>
      <c r="D5" s="2" t="s">
        <v>272</v>
      </c>
      <c r="E5" s="2" t="s">
        <v>324</v>
      </c>
      <c r="F5" s="2" t="s">
        <v>343</v>
      </c>
      <c r="G5" s="2" t="s">
        <v>325</v>
      </c>
      <c r="H5" s="3" t="s">
        <v>22</v>
      </c>
      <c r="I5" s="3" t="s">
        <v>22</v>
      </c>
      <c r="J5" s="2" t="s">
        <v>349</v>
      </c>
      <c r="K5" s="29" t="s">
        <v>326</v>
      </c>
      <c r="L5" s="2" t="s">
        <v>327</v>
      </c>
      <c r="M5" s="32" t="s">
        <v>277</v>
      </c>
      <c r="N5" s="3" t="s">
        <v>108</v>
      </c>
    </row>
    <row r="6" spans="1:14" ht="162" x14ac:dyDescent="0.35">
      <c r="A6" s="3" t="s">
        <v>117</v>
      </c>
      <c r="B6" s="2" t="s">
        <v>344</v>
      </c>
      <c r="C6" s="2" t="s">
        <v>345</v>
      </c>
      <c r="D6" s="2" t="s">
        <v>272</v>
      </c>
      <c r="E6" s="2" t="s">
        <v>329</v>
      </c>
      <c r="F6" s="2" t="s">
        <v>346</v>
      </c>
      <c r="G6" s="2" t="s">
        <v>347</v>
      </c>
      <c r="H6" s="3" t="s">
        <v>118</v>
      </c>
      <c r="I6" s="3" t="s">
        <v>118</v>
      </c>
      <c r="J6" s="2" t="s">
        <v>349</v>
      </c>
      <c r="K6" s="30" t="s">
        <v>330</v>
      </c>
      <c r="L6" s="2" t="s">
        <v>348</v>
      </c>
      <c r="M6" s="32" t="s">
        <v>277</v>
      </c>
      <c r="N6" s="3" t="s">
        <v>108</v>
      </c>
    </row>
  </sheetData>
  <phoneticPr fontId="3" type="noConversion"/>
  <conditionalFormatting sqref="N2:N6">
    <cfRule type="containsText" dxfId="3" priority="1" operator="containsText" text="Open">
      <formula>NOT(ISERROR(SEARCH("Open",N2)))</formula>
    </cfRule>
    <cfRule type="containsText" dxfId="2" priority="2" operator="containsText" text="closed">
      <formula>NOT(ISERROR(SEARCH("closed",N2)))</formula>
    </cfRule>
    <cfRule type="containsText" dxfId="1" priority="3" operator="containsText" text="fixed">
      <formula>NOT(ISERROR(SEARCH("fixed",N2)))</formula>
    </cfRule>
    <cfRule type="containsText" dxfId="0" priority="4" operator="containsText" text="In Progress">
      <formula>NOT(ISERROR(SEARCH("In Progress",N2)))</formula>
    </cfRule>
  </conditionalFormatting>
  <pageMargins left="0.7" right="0.7" top="0.75" bottom="0.75" header="0.3" footer="0.3"/>
  <pageSetup paperSize="0" orientation="portrait" r:id="rId1"/>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80B6173-3D15-46A4-8825-5EC55E342094}">
          <x14:formula1>
            <xm:f>Bug_status!$A$1:$A$4</xm:f>
          </x14:formula1>
          <xm:sqref>J7 N2:N6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E20D8-0090-4592-B199-73E1E9F103F0}">
  <sheetPr codeName="Лист18"/>
  <dimension ref="A1:A4"/>
  <sheetViews>
    <sheetView workbookViewId="0">
      <selection activeCell="D4" sqref="D4"/>
    </sheetView>
  </sheetViews>
  <sheetFormatPr defaultRowHeight="14.4" x14ac:dyDescent="0.3"/>
  <sheetData>
    <row r="1" spans="1:1" x14ac:dyDescent="0.3">
      <c r="A1" t="s">
        <v>108</v>
      </c>
    </row>
    <row r="2" spans="1:1" x14ac:dyDescent="0.3">
      <c r="A2" t="s">
        <v>92</v>
      </c>
    </row>
    <row r="3" spans="1:1" x14ac:dyDescent="0.3">
      <c r="A3" t="s">
        <v>109</v>
      </c>
    </row>
    <row r="4" spans="1:1" x14ac:dyDescent="0.3">
      <c r="A4" t="s">
        <v>110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906F7-4F2C-45E4-8677-A43BAD2B0D18}">
  <sheetPr codeName="Лист19"/>
  <dimension ref="A1:A5"/>
  <sheetViews>
    <sheetView workbookViewId="0">
      <selection sqref="A1:A5"/>
    </sheetView>
  </sheetViews>
  <sheetFormatPr defaultRowHeight="14.4" x14ac:dyDescent="0.3"/>
  <sheetData>
    <row r="1" spans="1:1" x14ac:dyDescent="0.3">
      <c r="A1" t="s">
        <v>91</v>
      </c>
    </row>
    <row r="2" spans="1:1" x14ac:dyDescent="0.3">
      <c r="A2" t="s">
        <v>92</v>
      </c>
    </row>
    <row r="3" spans="1:1" x14ac:dyDescent="0.3">
      <c r="A3" t="s">
        <v>93</v>
      </c>
    </row>
    <row r="4" spans="1:1" x14ac:dyDescent="0.3">
      <c r="A4" t="s">
        <v>94</v>
      </c>
    </row>
    <row r="5" spans="1:1" x14ac:dyDescent="0.3">
      <c r="A5" t="s">
        <v>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19</vt:i4>
      </vt:variant>
    </vt:vector>
  </HeadingPairs>
  <TitlesOfParts>
    <vt:vector size="19" baseType="lpstr">
      <vt:lpstr>test suite</vt:lpstr>
      <vt:lpstr>temp tc</vt:lpstr>
      <vt:lpstr>TS-01</vt:lpstr>
      <vt:lpstr>TS-03</vt:lpstr>
      <vt:lpstr>TS-05</vt:lpstr>
      <vt:lpstr>TS-14</vt:lpstr>
      <vt:lpstr>TS-15</vt:lpstr>
      <vt:lpstr>TS-19</vt:lpstr>
      <vt:lpstr>TS-API-20</vt:lpstr>
      <vt:lpstr>TS-API-21</vt:lpstr>
      <vt:lpstr>TS-API-22</vt:lpstr>
      <vt:lpstr>TS-API-23</vt:lpstr>
      <vt:lpstr>TS-API-24</vt:lpstr>
      <vt:lpstr>TS-API-25</vt:lpstr>
      <vt:lpstr>TS-LT-29</vt:lpstr>
      <vt:lpstr>Check List</vt:lpstr>
      <vt:lpstr>Bugs</vt:lpstr>
      <vt:lpstr>Bug_status</vt:lpstr>
      <vt:lpstr>CL-status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UserX</dc:creator>
  <cp:lastModifiedBy>UserX</cp:lastModifiedBy>
  <dcterms:created xsi:type="dcterms:W3CDTF">2015-06-05T18:19:34Z</dcterms:created>
  <dcterms:modified xsi:type="dcterms:W3CDTF">2026-06-20T11:46:52Z</dcterms:modified>
</cp:coreProperties>
</file>