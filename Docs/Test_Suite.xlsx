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Разні курси\Testing QA\для гіту і нотіону\"/>
    </mc:Choice>
  </mc:AlternateContent>
  <xr:revisionPtr revIDLastSave="0" documentId="13_ncr:1_{5FD5006D-0CE3-4F79-9755-444A385AE199}" xr6:coauthVersionLast="47" xr6:coauthVersionMax="47" xr10:uidLastSave="{00000000-0000-0000-0000-000000000000}"/>
  <bookViews>
    <workbookView xWindow="-108" yWindow="-108" windowWidth="23256" windowHeight="12576" tabRatio="911" activeTab="16" xr2:uid="{00000000-000D-0000-FFFF-FFFF00000000}"/>
  </bookViews>
  <sheets>
    <sheet name="test suite" sheetId="1" r:id="rId1"/>
    <sheet name="temp tc" sheetId="3" state="hidden" r:id="rId2"/>
    <sheet name="TS-01" sheetId="2" r:id="rId3"/>
    <sheet name="TS-03" sheetId="4" r:id="rId4"/>
    <sheet name="TS-05" sheetId="5" r:id="rId5"/>
    <sheet name="TS-14" sheetId="6" r:id="rId6"/>
    <sheet name="TS-15" sheetId="7" r:id="rId7"/>
    <sheet name="TS-19" sheetId="13" r:id="rId8"/>
    <sheet name="TS-API-20" sheetId="8" r:id="rId9"/>
    <sheet name="TS-API-21" sheetId="9" r:id="rId10"/>
    <sheet name="TS-API-22" sheetId="11" r:id="rId11"/>
    <sheet name="TS-API-23" sheetId="12" r:id="rId12"/>
    <sheet name="TS-API-24" sheetId="14" r:id="rId13"/>
    <sheet name="TS-API-25" sheetId="10" r:id="rId14"/>
    <sheet name="TS-LT-29" sheetId="17" r:id="rId15"/>
    <sheet name="Check List" sheetId="18" r:id="rId16"/>
    <sheet name="Bugs" sheetId="20" r:id="rId17"/>
    <sheet name="Bug_status" sheetId="21" state="hidden" r:id="rId18"/>
    <sheet name="CL-status" sheetId="19" state="hidden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8" l="1"/>
  <c r="I6" i="18"/>
  <c r="I5" i="18"/>
  <c r="I4" i="18"/>
  <c r="I3" i="18"/>
</calcChain>
</file>

<file path=xl/sharedStrings.xml><?xml version="1.0" encoding="utf-8"?>
<sst xmlns="http://schemas.openxmlformats.org/spreadsheetml/2006/main" count="680" uniqueCount="352">
  <si>
    <t>ID</t>
  </si>
  <si>
    <t>Title</t>
  </si>
  <si>
    <t>TS-01</t>
  </si>
  <si>
    <t>Відкрити випадаючу корзину без додавання товару до корзини</t>
  </si>
  <si>
    <t>Відкрити випадаючу корзину після додавання товару до корзини</t>
  </si>
  <si>
    <t>Відкрити випадаючу корзину після додавання товару до корзини і перезавантаження сторінки</t>
  </si>
  <si>
    <t>Додавання одного товару в корзину</t>
  </si>
  <si>
    <t>Видалення одного товару з корзини</t>
  </si>
  <si>
    <t>Додавання декількох товарів в корзину</t>
  </si>
  <si>
    <t>Видалення декількох товарів з корзини</t>
  </si>
  <si>
    <t>Перехід на сторінку корзини з товаром</t>
  </si>
  <si>
    <t>Перехід на сторінку корзини без товару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</si>
  <si>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</si>
  <si>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</si>
  <si>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</si>
  <si>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</si>
  <si>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</si>
  <si>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</si>
  <si>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</si>
  <si>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</si>
  <si>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</si>
  <si>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Позитивний</t>
  </si>
  <si>
    <t>Змінити кількість товару в випадаючій корзині ввівши валідне число</t>
  </si>
  <si>
    <t>Змінити кількість товару в випадаючій корзині ввівши від'ємне число</t>
  </si>
  <si>
    <t>Змінити кількість товару в випадаючій корзині ввівши спец.символ</t>
  </si>
  <si>
    <t>Негативний</t>
  </si>
  <si>
    <t>Змінити кількість товару в випадаючій корзині ввівши нуль</t>
  </si>
  <si>
    <t>Змінити кількість товару в випадаючій корзині ввівши велике число</t>
  </si>
  <si>
    <t>TS-11</t>
  </si>
  <si>
    <t>TS-12</t>
  </si>
  <si>
    <t>TS-13</t>
  </si>
  <si>
    <t>TS-14</t>
  </si>
  <si>
    <t>TS-15</t>
  </si>
  <si>
    <t>TS-16</t>
  </si>
  <si>
    <t>Швидкі кліки по кнопці "Add to cart"</t>
  </si>
  <si>
    <t>Test type</t>
  </si>
  <si>
    <t>Priority</t>
  </si>
  <si>
    <t>Steps</t>
  </si>
  <si>
    <t>TS-17</t>
  </si>
  <si>
    <t>High</t>
  </si>
  <si>
    <t>Medium</t>
  </si>
  <si>
    <t>Натиснути "Add to cart" на сторінці товару</t>
  </si>
  <si>
    <t>Видалення одного товару з випадаючої корзини</t>
  </si>
  <si>
    <t>Видалення декількох товарів з випадаючої  корзини</t>
  </si>
  <si>
    <t>1. Натиснути "My cart" на сторінці товару
2. Натиснути "Remove" у випадаючій корзині</t>
  </si>
  <si>
    <t>Іконка корзини показує "1", товар відображається в корзині</t>
  </si>
  <si>
    <t>Натиснути "My cart" на сторінці товару</t>
  </si>
  <si>
    <t>Відкривається випадаюча корзина, відображається повідомлення про те що корзина пуста</t>
  </si>
  <si>
    <t>Відкривається випадаюча корзина, відображаються товари додані в корзину</t>
  </si>
  <si>
    <t>Додати 3 різні товари в корзину</t>
  </si>
  <si>
    <t>Іконка корзини показує "3", товари відображаються в корзині</t>
  </si>
  <si>
    <t>Видалити 2 різні товари з корзини</t>
  </si>
  <si>
    <t>Іконка корзини показує "1", відображається один товар в корзині</t>
  </si>
  <si>
    <t>1. Натиснути "My cart" на сторінці товару
2. Натиснути "Check Out" у випадаючій корзині</t>
  </si>
  <si>
    <t>Відкривається сторінка корзини, товари відображаються коректно</t>
  </si>
  <si>
    <t>Натиснути "Check Out" в корзині</t>
  </si>
  <si>
    <t>Відкривається сторінка оформлення замовлення</t>
  </si>
  <si>
    <t>Перехід до оформлення замовлення</t>
  </si>
  <si>
    <t>Швидко натиснути 10 разів на "Add to cart" на сторінці товару</t>
  </si>
  <si>
    <t>Іконка корзини показує "5", відображається один товар в корзині</t>
  </si>
  <si>
    <t>Система видає помилку або залишає минуле значення</t>
  </si>
  <si>
    <t>TS-18</t>
  </si>
  <si>
    <t>TS-19</t>
  </si>
  <si>
    <t>1. Натиснути "My cart" на сторінці товару
3. Ввести "5" в полі кількості товару
2. Натиснути "Check Out" у випадаючій корзині</t>
  </si>
  <si>
    <t>1. Натиснути "My cart" на сторінці товару
3. Ввести "-5" в полі кількості товару
2. Натиснути "Check Out" у випадаючій корзині</t>
  </si>
  <si>
    <t>1. Натиснути "My cart" на сторінці товару
3. Ввести "а" в полі кількості товару
2. Натиснути "Check Out" у випадаючій корзині</t>
  </si>
  <si>
    <t>1. Натиснути "My cart" на сторінці товару
3. Ввести "№" в полі кількості товару
2. Натиснути "Check Out" у випадаючій корзині</t>
  </si>
  <si>
    <t>1. Натиснути "My cart" на сторінці товару
3. Ввести "0" в полі кількості товару
2. Натиснути "Check Out" у випадаючій корзині</t>
  </si>
  <si>
    <t>1. Натиснути "My cart" на сторінці товару
3. Ввести "99999999" в полі кількості товару
2. Натиснути "Check Out" у випадаючій корзині</t>
  </si>
  <si>
    <t>Товар додається в кошик лише один раз, лічильник збільшується на 1</t>
  </si>
  <si>
    <t>Статус-код 200 OK або 201 Created, у JSON-відповіді є підтвердження додавання.</t>
  </si>
  <si>
    <t>API (Позитивний)</t>
  </si>
  <si>
    <t>Перегляд вмістимого корзини до відправки валідного POST-запиту на додавання товару</t>
  </si>
  <si>
    <t>Перегляд вмістимого корзини після відправки валідного POST-запиту на додавання товару</t>
  </si>
  <si>
    <t>Статус-код 200 OK, у JSON-відповіді є підтвердження додавання.</t>
  </si>
  <si>
    <t>Відправка валідного POST-запиту на додавання одного товару</t>
  </si>
  <si>
    <t>Статус-код 200 OK, у JSON-відповіді є підтвердження, що корзина пуста.</t>
  </si>
  <si>
    <t>Додавання товару з неіснуючим ID через API</t>
  </si>
  <si>
    <t>API (Негативний)</t>
  </si>
  <si>
    <t>Статус-код 422 Unprocessable Entity, товар не додано.</t>
  </si>
  <si>
    <t>Відправка валідного POST-запиту на додавання декількох товарів</t>
  </si>
  <si>
    <t>Видалення одного товару з корзини через POST-запит</t>
  </si>
  <si>
    <t>Статус-код 200 OK, у JSON-відповіді є підтвердження видалення.</t>
  </si>
  <si>
    <t>Сервер повертає 200 OK, а в об'єкті товару quantity тепер дорівнює 5</t>
  </si>
  <si>
    <t>Зміна кількості товару через POST-запит на валідне значення</t>
  </si>
  <si>
    <t>Зміна кількості товару через POST-запит на від'ємне значення</t>
  </si>
  <si>
    <t>Сервер повертає помилку 400 Bad Request або 422 Unprocessable Entity, кількість товару в кошику залишається незмінною</t>
  </si>
  <si>
    <t>Навантажувальний</t>
  </si>
  <si>
    <t>Час відповіді сервера (Response Time) не перевищує 2 сек, немає помилок 500 або 504.</t>
  </si>
  <si>
    <t>Перевірка поведінки кошика при критичному піку (Stress Test)</t>
  </si>
  <si>
    <t>Поступово збільшувати кількість запитів до кошика, поки сервер не перестане відповідати</t>
  </si>
  <si>
    <t>Система коректно обробляє чергу, а при падінні повертає зрозумілу сторінку помилки (напр. 503 Service Unavailable).</t>
  </si>
  <si>
    <t>Відправити GET запит на /cart</t>
  </si>
  <si>
    <t>Відправити POST запит на /cart/change.js з quantity: 5 для товару, який вже в кошику</t>
  </si>
  <si>
    <t>Відправити POST запит на /cart/change.js з quantity: -5 для товару, який вже в кошику</t>
  </si>
  <si>
    <t>Expected result</t>
  </si>
  <si>
    <t>1. Натиснути "Check Out" на сторінці товару
2. Натиснути "х" на сторінці корзини, біля того товару який треба видалити</t>
  </si>
  <si>
    <t>Товар видаляється з корзини, лічильник кількості товарів оновляються</t>
  </si>
  <si>
    <t>Видалення вмісту корзини через POST-запит</t>
  </si>
  <si>
    <t>TS-01. Додавання одного товару в корзину</t>
  </si>
  <si>
    <t>№</t>
  </si>
  <si>
    <t xml:space="preserve">Precondition: </t>
  </si>
  <si>
    <t>Expected Result</t>
  </si>
  <si>
    <t>Test Data</t>
  </si>
  <si>
    <t>Additionally</t>
  </si>
  <si>
    <t>Name TS</t>
  </si>
  <si>
    <t>Precondition: Перехід на сайт: https://sauce-demo.myshopify.com</t>
  </si>
  <si>
    <t>https://sauce-demo.myshopify.com/collections/frontpage/products/grey-jacket</t>
  </si>
  <si>
    <t>Сторінка відкривається, товар відображається коректно</t>
  </si>
  <si>
    <t>Натиснути на кнопку "Add to cart"</t>
  </si>
  <si>
    <t>Товар додається в корзину, лічильник корзини збільшився на 1</t>
  </si>
  <si>
    <t>Перехід на сторінку товару "Grey Jacket"</t>
  </si>
  <si>
    <t>Товар відображається в випадаючій корзині. Фото товару, ціна та кількість взазані вірно</t>
  </si>
  <si>
    <t>https://sauce-demo.myshopify.com/cart</t>
  </si>
  <si>
    <t>Успішний перехід на сторінку корзини. Товар відображається коректно</t>
  </si>
  <si>
    <t>TS-03. Видалення одного товару з корзини</t>
  </si>
  <si>
    <t>Precondition: 
1. Перехід на сайт: https://sauce-demo.myshopify.com
2. Товар(https://sauce-demo.myshopify.com/collections/frontpage/products/grey-jacket) додано в корзину.</t>
  </si>
  <si>
    <t>Натиснути на кнопку "Check Out" у випадаючій корзині</t>
  </si>
  <si>
    <t>Успішний перехід на сторінку корзини</t>
  </si>
  <si>
    <t>Натиснути на кнопку "х" напроти товару</t>
  </si>
  <si>
    <t>Товар видалено видалено. Корзина пуста</t>
  </si>
  <si>
    <t>TS-05. Відкрити випадаючу корзину після додавання товару до корзини</t>
  </si>
  <si>
    <t>Натиснути на іконку кошика у верхньому правому куті (My Cart)</t>
  </si>
  <si>
    <t>TS-14. Змінити кількість товару в випадаючій корзині ввівши від'ємне число</t>
  </si>
  <si>
    <t>"Precondition: 
1. Перехід на сайт: https://sauce-demo.myshopify.com
2. Товар(https://sauce-demo.myshopify.com/collections/frontpage/products/grey-jacket) додано в корзину."				
3. Кількість товарів у корзині: 1.</t>
  </si>
  <si>
    <t>Успішний перехід на сторінку корзини. Кількість товарів у корзині - 1</t>
  </si>
  <si>
    <t>Ввести від'ємне число в поле кількості товару в випадаючій корзині</t>
  </si>
  <si>
    <t>а</t>
  </si>
  <si>
    <t>TS-15. Змінити кількість товару в випадаючій корзині ввівши літеру</t>
  </si>
  <si>
    <t>Змінити кількість товару в випадаючій корзині ввівши літеру</t>
  </si>
  <si>
    <t>Ввести лутеру в поле кількості товару в випадаючій корзині</t>
  </si>
  <si>
    <t>Відображається повідомлення про помилку введення</t>
  </si>
  <si>
    <t>В полі кількості товару відображається від'ємне число "-5". Система дозволяє вводити від'ємні числа, але це не впливає на кінцеву суму замовлення</t>
  </si>
  <si>
    <t>В полі кількості товару відображається літера "а". Система дозволяє вводити букви, але це не впливає на кінцеву суму замовлення</t>
  </si>
  <si>
    <t>Precondition: 
1. Відкрити програму Postman
2. Створити новий запит
3. Обрати метод POST</t>
  </si>
  <si>
    <t>В полі URL ввести API сайту</t>
  </si>
  <si>
    <t>https://sauce-demo.myshopify.com/cart/add.js</t>
  </si>
  <si>
    <t>В поле URL введено API сайту</t>
  </si>
  <si>
    <t>Перейти на вкладку Body з панелі параметрів</t>
  </si>
  <si>
    <t>Обрати формат form-data</t>
  </si>
  <si>
    <t>В колонку Key додати поле для кількості товару</t>
  </si>
  <si>
    <t>quantity</t>
  </si>
  <si>
    <t>id</t>
  </si>
  <si>
    <t>Відправити POST запит на cart/add.js з валідним id та quantity</t>
  </si>
  <si>
    <t>1. Відправити POST запит на /cart/add.js з валідним id та quantity
2. Відправити GET запит на /cart</t>
  </si>
  <si>
    <t>Відправити POST запит на /cart/change.js з валідним id та quantity</t>
  </si>
  <si>
    <t>Відправити POST запит на /cart/add.js з невалідним id</t>
  </si>
  <si>
    <t>Відправити POST запит на /cart/add.js з валідним id та quantity</t>
  </si>
  <si>
    <t>Натиснути кнопку "Send"</t>
  </si>
  <si>
    <t>Успішний перехід на вкладку Body</t>
  </si>
  <si>
    <t>На вкладці Body з'явились поля Key, Value, Description</t>
  </si>
  <si>
    <t>В колонку Key додати поле для ID товару</t>
  </si>
  <si>
    <t>В колонку Value додати значення ID товару</t>
  </si>
  <si>
    <t>В колонку Value ввести кількість товару</t>
  </si>
  <si>
    <t>Оглянути відповідь у вікні Response</t>
  </si>
  <si>
    <t>Перевірити статус та тіло відповіді</t>
  </si>
  <si>
    <t>Поле створено</t>
  </si>
  <si>
    <t>Значення ID введено</t>
  </si>
  <si>
    <t>Значення кількості введено</t>
  </si>
  <si>
    <t>Запит відправлено на сервер</t>
  </si>
  <si>
    <t>Отримано відповідь сервера</t>
  </si>
  <si>
    <t>Status Code: 200 OK. У тілі відповіді відображаються дані про доданий товар</t>
  </si>
  <si>
    <t>{
    "id": 611945025,
    "properties": {},
    "quantity": 1,
    "variant_id": 611945025,
    "key": "611945025:019db91541cb4f6510ae083c14634b43",
    "title": "Grey jacket - Grey jacket",
    "product_title": "Grey jacket",
    "variant_title": "Grey jacket",
    "price": 5500,
    "original_price": 5500,
    "discounted_price": 5500,
    "line_price": 5500,
    "original_line_price": 5500,
    "presentment_price": 55.0,
    "total_discount": 0,
    "discounts": [],
    "sku": "",
    "grams": 0,
    "vendor": "Sauce Demo",
    "taxable": true,
    "product_id": 263739389,
    "product_has_only_default_variant": false,
    "gift_card": false,
    "final_price": 5500,
    "final_line_price": 5500,
    "url": "/products/grey-jacket?variant=611945025",
    "featured_image": {
        "alt": "Grey jacket",
        "aspect_ratio": 0.625,
        "height": 480,
        "url": "https://cdn.shopify.com/s/files/1/0399/1157/products/fleece.jpg?v=1394656989",
        "width": 300
    },
    "image": "https://cdn.shopify.com/s/files/1/0399/1157/products/fleece.jpg?v=1394656989",
    "handle": "grey-jacket",
    "requires_shipping": true,
    "product_type": "Jackets",
    "untranslated_product_title": "Grey jacket",
    "product_description": "This area is populated by the product description. If you ever run out of things to say about what you're selling then take a look at 9 ways to write compelling product descriptions. In Theme Settings you can also change render the product description to the write of the product images.X",
    "untranslated_variant_title": "Grey jacket",
    "variant_options": [
        "Grey jacket"
    ],
    "options_with_values": [
        {
            "name": "Title",
            "value": "Grey jacket"
        }
    ],
    "line_level_discount_allocations": [],
    "line_level_total_discount": 0
}</t>
  </si>
  <si>
    <t>Status: 200 OK. JSON response contains correct item 'id': 611945025.</t>
  </si>
  <si>
    <t>TS-API-20</t>
  </si>
  <si>
    <t>TS-API-21</t>
  </si>
  <si>
    <t>TS-API-22</t>
  </si>
  <si>
    <t>TS-API-23</t>
  </si>
  <si>
    <t>TS-API-24</t>
  </si>
  <si>
    <t>TS-API-25</t>
  </si>
  <si>
    <t>TS-API-26</t>
  </si>
  <si>
    <t>TS-API-27</t>
  </si>
  <si>
    <t>TS-API-28</t>
  </si>
  <si>
    <t>TS-LT-29</t>
  </si>
  <si>
    <t>TS-STRESS-30</t>
  </si>
  <si>
    <t>TS-API-20. Відправка валідного POST-запиту на додавання одного товару</t>
  </si>
  <si>
    <t>TS-API-21. Перегляд вмістимого корзини до відправки валідного POST-запиту на додавання товару</t>
  </si>
  <si>
    <t>Precondition: 
1. Відкрити програму Postman
2. Корзина повинна бути пустою
3. Створити новий запит
4. Обрати метод GET</t>
  </si>
  <si>
    <t>https://sauce-demo.myshopify.com/cart.js</t>
  </si>
  <si>
    <t>{
    "token": "hWNDB9JJMb8p6K8L7EKfIQwF?key=31400f5c31c8701930cb94b1311dd14c",
    "note": "",
    "attributes": {},
    "original_total_price": 0,
    "total_price": 0,
    "total_discount": 0,
    "total_weight": 0.0,
    "item_count": 0,
    "items": [],
    "requires_shipping": false,
    "currency": "GBP",
    "items_subtotal_price": 0,
    "cart_level_discount_applications": [],
    "discount_codes": []
}</t>
  </si>
  <si>
    <t>Status Code: 200 OK. У тілі відповіді відображаються дані про вміст корзини</t>
  </si>
  <si>
    <t>Status: 200 OK. JSON response contains correct key 'items': [].</t>
  </si>
  <si>
    <t>TS-API-25. Відправка валідного POST-запиту на додавання декількох товарів</t>
  </si>
  <si>
    <t>TS-API-22. Перегляд вмістимого корзини після відправки валідного POST-запиту на додавання товару</t>
  </si>
  <si>
    <t>Precondition: 
1. Відкрити програму Postman
2. Виконано тест-кейс TS-API-20 (товар успішно додано до кошика).
3. Створити новий запит
4. Обрати метод GET</t>
  </si>
  <si>
    <t>{
    "token": "hWNDB9JJMb8p6K8L7EKfIQwF?key=31400f5c31c8701930cb94b1311dd14c",
    "note": "",
    "attributes": {},
    "original_total_price": 5500,
    "total_price": 5500,
    "total_discount": 0,
    "total_weight": 0.0,
    "item_count": 1,
    "items": [
        {
            "id": 611945025,
            "properties": {},
            "quantity": 1,
            "variant_id": 611945025,
            "key": "611945025:019db91541cb4f6510ae083c14634b43",
            "title": "Grey jacket - Grey jacket",
            "price": 5500,
            "original_price": 5500,
            "presentment_price": 55.0,
            "discounted_price": 5500,
            "line_price": 5500,
            "original_line_price": 5500,
            "total_discount": 0,
            "discounts": [],
            "sku": "",
            "grams": 0,
            "vendor": "Sauce Demo",
            "taxable": true,
            "product_id": 263739389,
            "product_has_only_default_variant": false,
            "gift_card": false,
            "final_price": 5500,
            "final_line_price": 5500,
            "url": "/products/grey-jacket?variant=611945025",
            "featured_image": {
                "aspect_ratio": 0.625,
                "alt": "Grey jacket",
                "height": 480,
                "url": "https://cdn.shopify.com/s/files/1/0399/1157/products/fleece.jpg?v=1394656989",
                "width": 300
            },
            "image": "https://cdn.shopify.com/s/files/1/0399/1157/products/fleece.jpg?v=1394656989",
            "handle": "grey-jacket",
            "requires_shipping": true,
            "product_type": "Jackets",
            "product_title": "Grey jacket",
            "product_description": "This area is populated by the product description. If you ever run out of things to say about what you're selling then take a look at 9 ways to write compelling product descriptions. In Theme Settings you can also change render the product description to the write of the product images.X",
            "variant_title": "Grey jacket",
            "variant_options": [
                "Grey jacket"
            ],
            "options_with_values": [
                {
                    "name": "Title",
                    "value": "Grey jacket"
                }
            ],
            "line_level_discount_allocations": [],
            "line_level_total_discount": 0,
            "quantity_rule": {
                "min": 1,
                "max": null,
                "increment": 1
            },
            "has_components": false
        }
    ],
    "requires_shipping": true,
    "currency": "GBP",
    "items_subtotal_price": 5500,
    "cart_level_discount_applications": [],
    "discount_codes": []
}</t>
  </si>
  <si>
    <t>Status: 200 OK. JSON response contains correct item 'id': 611945025 and 'quantity': 1.</t>
  </si>
  <si>
    <t>TS-API-23. Видалення вмісту корзини через POST-запит</t>
  </si>
  <si>
    <t>Precondition: 
1. Відкрити програму Postman
2. Виконано тест-кейс TS-API-20 (товар успішно додано до кошика).
3. Створити новий запит
4. Обрати метод POST</t>
  </si>
  <si>
    <t>https://sauce-demo.myshopify.com/cart/change.js</t>
  </si>
  <si>
    <t>line</t>
  </si>
  <si>
    <t>Status Code: 200 OK. У тілі відповіді відображаються дані про видалений товар</t>
  </si>
  <si>
    <t>{
    "token": "hWNDB9JJMb8p6K8L7EKfIQwF?key=31400f5c31c8701930cb94b1311dd14c",
    "note": "",
    "attributes": {},
    "original_total_price": 0,
    "total_price": 0,
    "total_discount": 0,
    "total_weight": 0.0,
    "item_count": 0,
    "items": [],
    "requires_shipping": false,
    "currency": "GBP",
    "items_subtotal_price": 0,
    "cart_level_discount_applications": [],
    "discount_codes": [],
    "items_added": [],
    "items_removed": [
        {
            "product_id": 263739389,
            "variant_id": 611945025,
            "id": "78ff5c0f-34c6-4bb4-bfdd-fe3692fd97e1",
            "image": "https://cdn.shopify.com/s/files/1/0399/1157/products/fleece.jpg?v=1394656989",
            "price": "55.00",
            "presentment_price": 55.0,
            "quantity": 1,
            "title": "Grey jacket - Grey jacket",
            "product_title": "Grey jacket - Grey jacket",
            "variant_title": "Grey jacket",
            "vendor": "Sauce Demo",
            "product_type": "Jackets",
            "sku": "",
            "url": "/products/grey-jacket?variant=611945025",
            "untranslated_product_title": "Grey jacket - Grey jacket",
            "untranslated_variant_title": "Grey jacket",
            "view_key": "611945025:019db91541cb4f6510ae083c14634b43"
        }
    ]
}</t>
  </si>
  <si>
    <t>Status: 200 OK. JSON response contains correct data in key 'items_removed'.</t>
  </si>
  <si>
    <t>В колонку Key додати поле для індексу позиції товару в кошику</t>
  </si>
  <si>
    <t>В колонку Value додати значення індексу позиції товару в кошику</t>
  </si>
  <si>
    <t>TS-19. Швидкі кліки по кнопці "Add to cart"</t>
  </si>
  <si>
    <t>Натиснути на кнопку "Add to cart" декілька разів</t>
  </si>
  <si>
    <t>5+ кліків</t>
  </si>
  <si>
    <t>Кнопка стає неактивною після першого кліку</t>
  </si>
  <si>
    <t>У кошику знаходиться 1 одиниця товару</t>
  </si>
  <si>
    <t>Перевірити кошик</t>
  </si>
  <si>
    <t>Перевірити статус запитів у вкладці Network</t>
  </si>
  <si>
    <t>Всі запити (крім першого) ігноруються/блокуються</t>
  </si>
  <si>
    <t>items[0][id]</t>
  </si>
  <si>
    <t>items[0][quantity]</t>
  </si>
  <si>
    <t>items[1][id]</t>
  </si>
  <si>
    <t>items[1][quantity]</t>
  </si>
  <si>
    <t>Status Code: 200 OK. У тілі відповіді відображаються дані про додані товари</t>
  </si>
  <si>
    <t>{
    "items": [
        {
            "id": 611945025,
            "properties": {},
            "quantity": 1,
            "variant_id": 611945025,
            "key": "611945025:019db91541cb4f6510ae083c14634b43",
            "title": "Grey jacket - Grey jacket",
            "product_title": "Grey jacket",
            "variant_title": "Grey jacket",
            "price": 5500,
            "original_price": 5500,
            "discounted_price": 5500,
            "line_price": 5500,
            "original_line_price": 5500,
            "presentment_price": 55.0,
            "total_discount": 0,
            "discounts": [],
            "sku": "",
            "grams": 0,
            "vendor": "Sauce Demo",
            "taxable": true,
            "product_id": 263739389,
            "product_has_only_default_variant": false,
            "gift_card": false,
            "final_price": 5500,
            "final_line_price": 5500,
            "url": "/products/grey-jacket?variant=611945025",
            "featured_image": {
                "alt": "Grey jacket",
                "aspect_ratio": 0.625,
                "height": 480,
                "url": "https://cdn.shopify.com/s/files/1/0399/1157/products/fleece.jpg?v=1394656989",
                "width": 300
            },
            "image": "https://cdn.shopify.com/s/files/1/0399/1157/products/fleece.jpg?v=1394656989",
            "handle": "grey-jacket",
            "requires_shipping": true,
            "product_type": "Jackets",
            "untranslated_product_title": "Grey jacket",
            "product_description": "This area is populated by the product description. If you ever run out of things to say about what you're selling then take a look at 9 ways to write compelling product descriptions. In Theme Settings you can also change render the product description to the write of the product images.X",
            "untranslated_variant_title": "Grey jacket",
            "variant_options": [
                "Grey jacket"
            ],
            "options_with_values": [
                {
                    "name": "Title",
                    "value": "Grey jacket"
                }
            ],
            "line_level_discount_allocations": [],
            "line_level_total_discount": 0
        },
        {
            "id": 611952521,
            "properties": {},
            "quantity": 2,
            "variant_id": 611952521,
            "key": "611952521:4d431e52eab1f8e6ede90b2c15edc5b7",
            "title": "Noir jacket - S / Blue",
            "product_title": "Noir jacket",
            "variant_title": "S / Blue",
            "price": 6000,
            "original_price": 6000,
            "discounted_price": 6000,
            "line_price": 12000,
            "original_line_price": 12000,
            "presentment_price": 60.0,
            "total_discount": 0,
            "discounts": [],
            "sku": "",
            "grams": 0,
            "vendor": "Sauce Demo",
            "taxable": true,
            "product_id": 263741321,
            "product_has_only_default_variant": false,
            "gift_card": false,
            "final_price": 6000,
            "final_line_price": 12000,
            "url": "/products/noir-jacket?variant=611952521",
            "featured_image": {
                "alt": "Noir jacket",
                "aspect_ratio": 0.625,
                "height": 480,
                "url": "https://cdn.shopify.com/s/files/1/0399/1157/products/jacket.jpg?v=1394657254",
                "width": 300
            },
            "image": "https://cdn.shopify.com/s/files/1/0399/1157/products/jacket.jpg?v=1394657254",
            "handle": "noir-jacket",
            "requires_shipping": true,
            "product_type": "Jackets",
            "untranslated_product_title": "Noir jacket",
            "product_description": "This area is populated by the product description. If you ever run out of things to say about what you're selling then take a look at 9 ways to write compelling product descriptions. In Theme Settings you can also change render the product description to the write of the product images.",
            "untranslated_variant_title": "S / Blue",
            "variant_options": [
                "S",
                "Blue"
            ],
            "options_with_values": [
                {
                    "name": "Size",
                    "value": "S"
                },
                {
                    "name": "Color",
                    "value": "Blue"
                }
            ],
            "line_level_discount_allocations": [],
            "line_level_total_discount": 0
        }
    ]
}</t>
  </si>
  <si>
    <t>Status: 200 OK. JSON response contains correct item 'id': (611945025 and 'quantity': 1) and (611952521 and 'quantity': 2).</t>
  </si>
  <si>
    <t>TS-API-24. Додавання товару з неіснуючим ID через API</t>
  </si>
  <si>
    <t>Status Code: 422 Unprocessable Entity. У тілі відповіді відображаються дані про те що такого товару не існує</t>
  </si>
  <si>
    <t>{
    "status": 422,
    "message": "Cart Error",
    "description": "Cannot find variant"
}</t>
  </si>
  <si>
    <t>Status Code: 422 Unprocessable Entity. The request was well-formed but had
semantic errors.</t>
  </si>
  <si>
    <t>Тестування стабільності кошика під час очікуваної кількості користувачів</t>
  </si>
  <si>
    <t>Емулювати одночасне додавання товарів у кошик 50 користувачами за 30 секунд</t>
  </si>
  <si>
    <t>Налаштувати Thread Group</t>
  </si>
  <si>
    <t>Number of Threads (users): 50
Ramp-up period (seconds): 30
Loop Count: 1</t>
  </si>
  <si>
    <t>Налаштувати HTTP Request</t>
  </si>
  <si>
    <t>Нажати кнопку Start</t>
  </si>
  <si>
    <t>Оглянути відповідь в View Result Tree</t>
  </si>
  <si>
    <t>Thread Group налаштовано</t>
  </si>
  <si>
    <t>HTTP Request налаштовано</t>
  </si>
  <si>
    <t>Запуск тестування</t>
  </si>
  <si>
    <t>Налаштувати Uniform Random Timer</t>
  </si>
  <si>
    <t>Таймер використовується для імітації поведінки реальних людей</t>
  </si>
  <si>
    <t>Uniform Random Timer налаштовано</t>
  </si>
  <si>
    <t>Precondition: 
1. Відкрити програму JMeter
2. Створити Thread Group з назвою "TS-LT-29"
3. В Thread Group додати HTTP Request
4. В Thread Group додати Uniform Random Timer
5. В Thread Group додати View Result Tree
6. В Thread Group додати CSV Data Set Config
7. В Thread Group додати User Defined Variables</t>
  </si>
  <si>
    <t>TS-LT-29. Тестування стабільності кошика під час очікуваної кількості користувачів</t>
  </si>
  <si>
    <t>В CSV Data Set Config додати файл з розширенням .csv</t>
  </si>
  <si>
    <t>В CSV Data Set Config додано файл із списком товарів</t>
  </si>
  <si>
    <t>В CSV Data Set Config в поле Variable Names (comma-delimited) додати назви змінних через кому</t>
  </si>
  <si>
    <t>id,quantity</t>
  </si>
  <si>
    <t>В User Defined Variables в поле Name додати два параметри</t>
  </si>
  <si>
    <t>protocol, server_name</t>
  </si>
  <si>
    <t>В User Defined Variables в поле Value додати два параметри</t>
  </si>
  <si>
    <t>https, sauce-demo.myshopify.com</t>
  </si>
  <si>
    <t>В CSV Data Set Config додано назви змінних. Налаштування CSV Data Set Config завершено</t>
  </si>
  <si>
    <t>В User Defined Variables в поле Name додано два параметри</t>
  </si>
  <si>
    <t>В User Defined Variables в поле Value додано два параметри. Налаштування User Defined Variables завершено</t>
  </si>
  <si>
    <t>Protocol [http]: https
Server Name or IP: ${server_name}
HTTP Request: POST
Path: cart/add.js</t>
  </si>
  <si>
    <t>В HTTP Request в поле Name додати два параметри</t>
  </si>
  <si>
    <t>id, quantity</t>
  </si>
  <si>
    <t>В HTTP Request в поле Name додано два параметри</t>
  </si>
  <si>
    <t>В HTTP Request в поле Value додати два параметри</t>
  </si>
  <si>
    <t>${id}, ${quantity}</t>
  </si>
  <si>
    <t xml:space="preserve">В HTTP Request в поле Value додано два параметри. </t>
  </si>
  <si>
    <t>Налаштування HTTP Request завершено</t>
  </si>
  <si>
    <t>В HTTP Request в Content-Type для обох параметрів вказати значення</t>
  </si>
  <si>
    <t>Random Delay Maximum (in milliseconds): 3000
Constant Delay Offset (in milliseconds): 2000</t>
  </si>
  <si>
    <t>application/x-www-form-urlencoded</t>
  </si>
  <si>
    <t>Успішні запити повертають статус 200 OK. При досягненні ліміту запитів на одиницю часу допускається отримання статусів 422 (помилка бізнес-логіки) та 429 (спрацювання механізму захисту від навантаження).</t>
  </si>
  <si>
    <t>Додати Summary Report до Thread Group</t>
  </si>
  <si>
    <t>Додано Summary Report для аналізу результатів</t>
  </si>
  <si>
    <t>Зібрати метрики у Summary Report</t>
  </si>
  <si>
    <t>Відображено: Samples, Average, Error %, Throughput.</t>
  </si>
  <si>
    <t>Сформувати фінальний висновок</t>
  </si>
  <si>
    <t>Результати проаналізовано: виявлено точку відмови (Rate Limiting 429).</t>
  </si>
  <si>
    <t>Файл test_data.csv з переліком актуальних ID товарів та їх кількістю</t>
  </si>
  <si>
    <t>Якщо Error % перевищує 50% при навантаженні нижче 10 користувачів — вважати тест проваленим</t>
  </si>
  <si>
    <t>Область перевірки</t>
  </si>
  <si>
    <t>Пріоритет</t>
  </si>
  <si>
    <t>Статус</t>
  </si>
  <si>
    <t>Посилання на тест-кейс</t>
  </si>
  <si>
    <t>Коментар</t>
  </si>
  <si>
    <t>Дашборд статусу</t>
  </si>
  <si>
    <t>CL-01</t>
  </si>
  <si>
    <t>CL-03</t>
  </si>
  <si>
    <t>CL-05</t>
  </si>
  <si>
    <t>CL-02</t>
  </si>
  <si>
    <t>CL-04</t>
  </si>
  <si>
    <t>CL-06</t>
  </si>
  <si>
    <t>CL-07</t>
  </si>
  <si>
    <t>CL-08</t>
  </si>
  <si>
    <t>CL-09</t>
  </si>
  <si>
    <t>CL-10</t>
  </si>
  <si>
    <t>CL-11</t>
  </si>
  <si>
    <t>CL-12</t>
  </si>
  <si>
    <t>CL-13</t>
  </si>
  <si>
    <t>New</t>
  </si>
  <si>
    <t>In Progress</t>
  </si>
  <si>
    <t>Pass</t>
  </si>
  <si>
    <t>Fail</t>
  </si>
  <si>
    <t>Blocked</t>
  </si>
  <si>
    <t>Назва/Короткий опис</t>
  </si>
  <si>
    <t xml:space="preserve">Натиснути на кнопку "Check Out" </t>
  </si>
  <si>
    <t>Натиснути на кнопку "Check Out"</t>
  </si>
  <si>
    <t>Functional</t>
  </si>
  <si>
    <t>Performance</t>
  </si>
  <si>
    <t>API</t>
  </si>
  <si>
    <t>Bug_01</t>
  </si>
  <si>
    <t>Bug_02</t>
  </si>
  <si>
    <t>Bug_03</t>
  </si>
  <si>
    <t>Summary</t>
  </si>
  <si>
    <t>Actual Result</t>
  </si>
  <si>
    <t>Description</t>
  </si>
  <si>
    <t>Precondition</t>
  </si>
  <si>
    <t>Severity</t>
  </si>
  <si>
    <t>Status</t>
  </si>
  <si>
    <t>Open</t>
  </si>
  <si>
    <t>Fixed</t>
  </si>
  <si>
    <t>Closed</t>
  </si>
  <si>
    <t>Вічна загрузка при відкритті випадаючої корзини відразу після додавання товару до корзини</t>
  </si>
  <si>
    <t>Перехід на сайт: https://sauce-demo.myshopify.com</t>
  </si>
  <si>
    <t>Steps to Reproduce</t>
  </si>
  <si>
    <t>1. Перейти на сторінку товару(https://sauce-demo.myshopify.com/collections/frontpage/products/grey-jacket)
2. Натиснути кнопку "Add to Cart"
3. Відкрити випадаючу корзину</t>
  </si>
  <si>
    <t>Після додавання товару до корзини, товар відображається у випадаючій корзині</t>
  </si>
  <si>
    <t>Після додавання товару до корзини, відбувається вічна загрузка у випадаючіц корзині</t>
  </si>
  <si>
    <t>Environment</t>
  </si>
  <si>
    <t xml:space="preserve">Attachments </t>
  </si>
  <si>
    <t>Additional Information</t>
  </si>
  <si>
    <t xml:space="preserve">При відкриті випадаючої корзини відразу після додавання будь-якого товару, товар додається до корзини, але у випадаючій корзині відбувається вічна загрузка. </t>
  </si>
  <si>
    <t>Якщо після додавання товару до корзини, обновити сторінку, то товар буде відображатись у випадаючій корзині</t>
  </si>
  <si>
    <t>Frequency</t>
  </si>
  <si>
    <t>5 із 5</t>
  </si>
  <si>
    <t>Зайве додавання товарів до корзини під час швидких кліків по кнопці "Add to Cart"</t>
  </si>
  <si>
    <t>При 10 кліках по кнопці "Add to Cart" додається більше одного товару до корзини</t>
  </si>
  <si>
    <t>1. Перейти на сторінку товару(https://sauce-demo.myshopify.com/collections/frontpage/products/grey-jacket)
2. Натиснути кнопку "Add to Cart" 10 разів</t>
  </si>
  <si>
    <t>Додається 1 товар до корзини</t>
  </si>
  <si>
    <t>3 із 5</t>
  </si>
  <si>
    <t>Додається від 0 до 3 товарів до корзини</t>
  </si>
  <si>
    <t>Під час швидких кліків (10 разів) у Network Tab спостерігається велика кількість одночасних запитів (add.js, cart.js), що призводить до блокування оновлення UI та конфліктів запитів. Також зафіксовано блокування запитів 'metrics' розширеннями браузера (ERR_BLOCKED_BY_CLIENT), що може впливати на стабільність роботи скриптів.</t>
  </si>
  <si>
    <t>Bug_04</t>
  </si>
  <si>
    <t>Bug_05</t>
  </si>
  <si>
    <t>60% помилок при навантаженні в 10 користувачів</t>
  </si>
  <si>
    <t>При наватаженні сайту в 10 користувачів за 30 секунд, відсоток помилок 60%</t>
  </si>
  <si>
    <t>Відкрити програму JMeter</t>
  </si>
  <si>
    <t>Відсоток помилок нижче 50%</t>
  </si>
  <si>
    <t>Відсоток помилок 60%</t>
  </si>
  <si>
    <r>
      <rPr>
        <b/>
        <sz val="14"/>
        <color theme="1"/>
        <rFont val="Times New Roman"/>
        <family val="1"/>
        <charset val="204"/>
      </rPr>
      <t>Відео вічної загрузки:</t>
    </r>
    <r>
      <rPr>
        <sz val="14"/>
        <color theme="1"/>
        <rFont val="Times New Roman"/>
        <family val="1"/>
        <charset val="204"/>
      </rPr>
      <t xml:space="preserve"> https://surl.li/wzjmhz</t>
    </r>
  </si>
  <si>
    <t>Тест успішно пройдено після виправлення конфігурації CSV-файлу</t>
  </si>
  <si>
    <r>
      <rPr>
        <b/>
        <sz val="14"/>
        <color theme="1"/>
        <rFont val="Times New Roman"/>
        <family val="1"/>
        <charset val="204"/>
      </rPr>
      <t>CSV файл:</t>
    </r>
    <r>
      <rPr>
        <sz val="14"/>
        <color theme="1"/>
        <rFont val="Times New Roman"/>
        <family val="1"/>
        <charset val="204"/>
      </rPr>
      <t xml:space="preserve"> https://surl.li/tryynk
</t>
    </r>
    <r>
      <rPr>
        <b/>
        <sz val="14"/>
        <color theme="1"/>
        <rFont val="Times New Roman"/>
        <family val="1"/>
        <charset val="204"/>
      </rPr>
      <t>Thread Group:</t>
    </r>
    <r>
      <rPr>
        <sz val="14"/>
        <color theme="1"/>
        <rFont val="Times New Roman"/>
        <family val="1"/>
        <charset val="204"/>
      </rPr>
      <t xml:space="preserve"> https://surl.li/uzixeo
</t>
    </r>
    <r>
      <rPr>
        <b/>
        <sz val="14"/>
        <color theme="1"/>
        <rFont val="Times New Roman"/>
        <family val="1"/>
        <charset val="204"/>
      </rPr>
      <t>Summary Report:</t>
    </r>
    <r>
      <rPr>
        <sz val="14"/>
        <color theme="1"/>
        <rFont val="Times New Roman"/>
        <family val="1"/>
        <charset val="204"/>
      </rPr>
      <t xml:space="preserve"> https://surl.li/xthhdk
</t>
    </r>
    <r>
      <rPr>
        <b/>
        <sz val="14"/>
        <color theme="1"/>
        <rFont val="Times New Roman"/>
        <family val="1"/>
        <charset val="204"/>
      </rPr>
      <t>View Result Tree:</t>
    </r>
    <r>
      <rPr>
        <sz val="14"/>
        <color theme="1"/>
        <rFont val="Times New Roman"/>
        <family val="1"/>
        <charset val="204"/>
      </rPr>
      <t xml:space="preserve"> https://surl.li/zhomtw</t>
    </r>
  </si>
  <si>
    <t>1. Скачати Thread Group з назвою "TS-LT-29" за посиланням з Attachments 
2. Додати Thread Group в програму JMeter
3. Скачати CSV-файл за посиланням з Attachments 
4. Додати CSV-файл у CSV Data Set Config
5. Відкрити View Result Tree
6. Запустити тестування</t>
  </si>
  <si>
    <t>1. Виявлено помилку конфігурації CSV-файлу (заголовки сприймалися як дані).
2. Після видалення заголовків відсоток помилок знизився до 40%.
3. Тест стабільний при поточному навантаженні (10 користувачів / 30 сек).
Виявлено обмеження швидкості запитів (HTTP 429 Too Many Requests). Сервер швидко обробляє запити (90-147 мс), проте вмикається механізм захисту від DDoS або інтенсивного трафіку, що призводить до відхилення 40% запитів при навантаженні 10 користувачів.</t>
  </si>
  <si>
    <t>Змінна кількості товару на велике число приводить сайт до помилки</t>
  </si>
  <si>
    <t>При змінні кількості товару на 99999999, сайт видає помилку "Something went wrong."</t>
  </si>
  <si>
    <t>1. Перейти на сторінку товару(https://sauce-demo.myshopify.com/collections/frontpage/products/grey-jacket)
2. Натиснути кнопку "Add to Cart"
3. Обновити сторінку.
4. Відкрити випадаючу корзину
5. В полі кількості товару ввести число "99999999"
6. Натиснути на кнопку "Check Out" в випадаючій корзині</t>
  </si>
  <si>
    <t>Сайт має автоматично змінити 99999999 на максимально доступну кількість</t>
  </si>
  <si>
    <t>Сайт видає помилку "Something went wrong."</t>
  </si>
  <si>
    <r>
      <rPr>
        <b/>
        <sz val="14"/>
        <color theme="1"/>
        <rFont val="Times New Roman"/>
        <family val="1"/>
        <charset val="204"/>
      </rPr>
      <t>Відео відтворення помилки:</t>
    </r>
    <r>
      <rPr>
        <sz val="14"/>
        <color theme="1"/>
        <rFont val="Times New Roman"/>
        <family val="1"/>
        <charset val="204"/>
      </rPr>
      <t xml:space="preserve"> https://surl.li/fugzqf
</t>
    </r>
    <r>
      <rPr>
        <b/>
        <sz val="14"/>
        <color theme="1"/>
        <rFont val="Times New Roman"/>
        <family val="1"/>
        <charset val="204"/>
      </rPr>
      <t>Лог network:</t>
    </r>
    <r>
      <rPr>
        <sz val="14"/>
        <color theme="1"/>
        <rFont val="Times New Roman"/>
        <family val="1"/>
        <charset val="204"/>
      </rPr>
      <t xml:space="preserve"> https://surl.li/awzubc</t>
    </r>
  </si>
  <si>
    <t>Введення надмірного значення (99999999) призводить до "Cart Error" замість валідації. Запит завершується помилкою стану (Network Tab).
Вплив: Втрата сесії кошика, примусове повернення на головну.
Рекомендація: Додати валідацію вводу та коректну обробку помилок на сервері.</t>
  </si>
  <si>
    <r>
      <rPr>
        <b/>
        <sz val="14"/>
        <color theme="1"/>
        <rFont val="Times New Roman"/>
        <family val="1"/>
        <charset val="204"/>
      </rPr>
      <t>Відео відтворення помилки:</t>
    </r>
    <r>
      <rPr>
        <sz val="14"/>
        <color theme="1"/>
        <rFont val="Times New Roman"/>
        <family val="1"/>
        <charset val="204"/>
      </rPr>
      <t xml:space="preserve"> https://surli.cc/csupjz
</t>
    </r>
    <r>
      <rPr>
        <b/>
        <sz val="14"/>
        <color theme="1"/>
        <rFont val="Times New Roman"/>
        <family val="1"/>
        <charset val="204"/>
      </rPr>
      <t>Лог network:</t>
    </r>
    <r>
      <rPr>
        <sz val="14"/>
        <color theme="1"/>
        <rFont val="Times New Roman"/>
        <family val="1"/>
        <charset val="204"/>
      </rPr>
      <t xml:space="preserve"> https://surl.li/uqyyyo</t>
    </r>
  </si>
  <si>
    <t>На сторінці відображається зайвий технічний текст "Footer"</t>
  </si>
  <si>
    <t>Low</t>
  </si>
  <si>
    <t>Елемент має бути прихований</t>
  </si>
  <si>
    <t>Надпис "Footer" відображається на сторінці сайту</t>
  </si>
  <si>
    <t>Не видалений рядок коду  &lt;h2&gt;Footer&lt;/h2&gt;</t>
  </si>
  <si>
    <t>1. Проскролити сайт до футеру
2. Звернути увагу на надпис "Footer"</t>
  </si>
  <si>
    <t>На сторінці сайту відображається технічний текст "Footer"</t>
  </si>
  <si>
    <t>OS: Windows 10
Browser: Google Chrome 149.0.7827.103, Opera GX 132.0.5905.43
Resolution: 1920x1200</t>
  </si>
  <si>
    <r>
      <rPr>
        <b/>
        <sz val="14"/>
        <color theme="1"/>
        <rFont val="Times New Roman"/>
        <family val="1"/>
        <charset val="204"/>
      </rPr>
      <t>Скріншот тексту:</t>
    </r>
    <r>
      <rPr>
        <sz val="14"/>
        <color theme="1"/>
        <rFont val="Times New Roman"/>
        <family val="1"/>
        <charset val="204"/>
      </rPr>
      <t xml:space="preserve"> https://surl.li/cbcwmd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</si>
</sst>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/>
    <xf numFmtId="0" fontId="2" fillId="0" borderId="1" xfId="0" applyFont="1" applyBorder="1"/>
    <xf numFmtId="0" fontId="4" fillId="0" borderId="0" xfId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collections/frontpage/products/grey-jacke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car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collections/frontpage/products/grey-jacke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cart/add.j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cart.j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cart.j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cart/change.js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cart/add.js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cart/add.js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1"/>
  <dimension ref="A1:F31"/>
  <sheetViews>
    <sheetView topLeftCell="A17" zoomScaleNormal="100" workbookViewId="0">
      <selection activeCell="E19" sqref="E19"/>
    </sheetView>
  </sheetViews>
  <sheetFormatPr defaultRowHeight="18" x14ac:dyDescent="0.3"/>
  <cols>
    <col min="1" max="1" width="10.77734375" style="5" customWidth="1"/>
    <col min="2" max="2" width="47.109375" style="5" customWidth="1"/>
    <col min="3" max="3" width="22" style="5" customWidth="1"/>
    <col min="4" max="4" width="20.109375" style="5" customWidth="1"/>
    <col min="5" max="5" width="34.77734375" style="5" customWidth="1"/>
    <col min="6" max="6" width="34.109375" style="5" customWidth="1"/>
    <col min="7" max="16384" width="8.88671875" style="5"/>
  </cols>
  <sheetData>
    <row r="1" spans="1:6" x14ac:dyDescent="0.3">
      <c r="A1" s="1" t="s">
        <v>0</v>
      </c>
      <c r="B1" s="1" t="s">
        <v>1</v>
      </c>
      <c r="C1" s="1" t="s">
        <v>35</v>
      </c>
      <c r="D1" s="7" t="s">
        <v>36</v>
      </c>
      <c r="E1" s="1" t="s">
        <v>37</v>
      </c>
      <c r="F1" s="1" t="s">
        <v>95</v>
      </c>
    </row>
    <row r="2" spans="1:6" ht="54" x14ac:dyDescent="0.3">
      <c r="A2" s="3" t="s">
        <v>2</v>
      </c>
      <c r="B2" s="2" t="s">
        <v>6</v>
      </c>
      <c r="C2" s="3" t="s">
        <v>21</v>
      </c>
      <c r="D2" s="8" t="s">
        <v>39</v>
      </c>
      <c r="E2" s="2" t="s">
        <v>41</v>
      </c>
      <c r="F2" s="2" t="s">
        <v>45</v>
      </c>
    </row>
    <row r="3" spans="1:6" ht="72" x14ac:dyDescent="0.3">
      <c r="A3" s="3" t="s">
        <v>12</v>
      </c>
      <c r="B3" s="4" t="s">
        <v>42</v>
      </c>
      <c r="C3" s="3" t="s">
        <v>21</v>
      </c>
      <c r="D3" s="8" t="s">
        <v>39</v>
      </c>
      <c r="E3" s="6" t="s">
        <v>44</v>
      </c>
      <c r="F3" s="2" t="s">
        <v>97</v>
      </c>
    </row>
    <row r="4" spans="1:6" ht="90" x14ac:dyDescent="0.3">
      <c r="A4" s="3" t="s">
        <v>13</v>
      </c>
      <c r="B4" s="2" t="s">
        <v>7</v>
      </c>
      <c r="C4" s="3" t="s">
        <v>21</v>
      </c>
      <c r="D4" s="8" t="s">
        <v>39</v>
      </c>
      <c r="E4" s="6" t="s">
        <v>96</v>
      </c>
      <c r="F4" s="2" t="s">
        <v>97</v>
      </c>
    </row>
    <row r="5" spans="1:6" ht="72" x14ac:dyDescent="0.3">
      <c r="A5" s="3" t="s">
        <v>14</v>
      </c>
      <c r="B5" s="2" t="s">
        <v>3</v>
      </c>
      <c r="C5" s="3" t="s">
        <v>21</v>
      </c>
      <c r="D5" s="8" t="s">
        <v>40</v>
      </c>
      <c r="E5" s="2" t="s">
        <v>46</v>
      </c>
      <c r="F5" s="6" t="s">
        <v>47</v>
      </c>
    </row>
    <row r="6" spans="1:6" ht="54" x14ac:dyDescent="0.3">
      <c r="A6" s="3" t="s">
        <v>15</v>
      </c>
      <c r="B6" s="2" t="s">
        <v>4</v>
      </c>
      <c r="C6" s="3" t="s">
        <v>21</v>
      </c>
      <c r="D6" s="8" t="s">
        <v>40</v>
      </c>
      <c r="E6" s="2" t="s">
        <v>46</v>
      </c>
      <c r="F6" s="6" t="s">
        <v>48</v>
      </c>
    </row>
    <row r="7" spans="1:6" ht="54" x14ac:dyDescent="0.3">
      <c r="A7" s="3" t="s">
        <v>16</v>
      </c>
      <c r="B7" s="6" t="s">
        <v>5</v>
      </c>
      <c r="C7" s="3" t="s">
        <v>21</v>
      </c>
      <c r="D7" s="8" t="s">
        <v>40</v>
      </c>
      <c r="E7" s="2" t="s">
        <v>46</v>
      </c>
      <c r="F7" s="6" t="s">
        <v>48</v>
      </c>
    </row>
    <row r="8" spans="1:6" ht="54" x14ac:dyDescent="0.3">
      <c r="A8" s="3" t="s">
        <v>17</v>
      </c>
      <c r="B8" s="2" t="s">
        <v>8</v>
      </c>
      <c r="C8" s="3" t="s">
        <v>21</v>
      </c>
      <c r="D8" s="8" t="s">
        <v>39</v>
      </c>
      <c r="E8" s="2" t="s">
        <v>49</v>
      </c>
      <c r="F8" s="2" t="s">
        <v>50</v>
      </c>
    </row>
    <row r="9" spans="1:6" ht="54" x14ac:dyDescent="0.3">
      <c r="A9" s="3" t="s">
        <v>18</v>
      </c>
      <c r="B9" s="2" t="s">
        <v>43</v>
      </c>
      <c r="C9" s="3" t="s">
        <v>21</v>
      </c>
      <c r="D9" s="8" t="s">
        <v>39</v>
      </c>
      <c r="E9" s="2" t="s">
        <v>51</v>
      </c>
      <c r="F9" s="2" t="s">
        <v>52</v>
      </c>
    </row>
    <row r="10" spans="1:6" ht="54" x14ac:dyDescent="0.3">
      <c r="A10" s="3" t="s">
        <v>19</v>
      </c>
      <c r="B10" s="2" t="s">
        <v>9</v>
      </c>
      <c r="C10" s="3" t="s">
        <v>21</v>
      </c>
      <c r="D10" s="8" t="s">
        <v>39</v>
      </c>
      <c r="E10" s="2" t="s">
        <v>51</v>
      </c>
      <c r="F10" s="2" t="s">
        <v>52</v>
      </c>
    </row>
    <row r="11" spans="1:6" ht="72" x14ac:dyDescent="0.3">
      <c r="A11" s="3" t="s">
        <v>20</v>
      </c>
      <c r="B11" s="2" t="s">
        <v>10</v>
      </c>
      <c r="C11" s="3" t="s">
        <v>21</v>
      </c>
      <c r="D11" s="8" t="s">
        <v>40</v>
      </c>
      <c r="E11" s="6" t="s">
        <v>53</v>
      </c>
      <c r="F11" s="2" t="s">
        <v>54</v>
      </c>
    </row>
    <row r="12" spans="1:6" ht="72" x14ac:dyDescent="0.3">
      <c r="A12" s="3" t="s">
        <v>28</v>
      </c>
      <c r="B12" s="2" t="s">
        <v>11</v>
      </c>
      <c r="C12" s="3" t="s">
        <v>21</v>
      </c>
      <c r="D12" s="8" t="s">
        <v>40</v>
      </c>
      <c r="E12" s="6" t="s">
        <v>53</v>
      </c>
      <c r="F12" s="2" t="s">
        <v>54</v>
      </c>
    </row>
    <row r="13" spans="1:6" ht="36" x14ac:dyDescent="0.3">
      <c r="A13" s="3" t="s">
        <v>29</v>
      </c>
      <c r="B13" s="2" t="s">
        <v>57</v>
      </c>
      <c r="C13" s="3" t="s">
        <v>21</v>
      </c>
      <c r="D13" s="8" t="s">
        <v>39</v>
      </c>
      <c r="E13" s="6" t="s">
        <v>55</v>
      </c>
      <c r="F13" s="6" t="s">
        <v>56</v>
      </c>
    </row>
    <row r="14" spans="1:6" ht="108" x14ac:dyDescent="0.3">
      <c r="A14" s="3" t="s">
        <v>30</v>
      </c>
      <c r="B14" s="2" t="s">
        <v>22</v>
      </c>
      <c r="C14" s="3" t="s">
        <v>21</v>
      </c>
      <c r="D14" s="8" t="s">
        <v>39</v>
      </c>
      <c r="E14" s="6" t="s">
        <v>63</v>
      </c>
      <c r="F14" s="2" t="s">
        <v>59</v>
      </c>
    </row>
    <row r="15" spans="1:6" ht="108" x14ac:dyDescent="0.3">
      <c r="A15" s="3" t="s">
        <v>31</v>
      </c>
      <c r="B15" s="2" t="s">
        <v>23</v>
      </c>
      <c r="C15" s="3" t="s">
        <v>25</v>
      </c>
      <c r="D15" s="8" t="s">
        <v>39</v>
      </c>
      <c r="E15" s="6" t="s">
        <v>64</v>
      </c>
      <c r="F15" s="2" t="s">
        <v>60</v>
      </c>
    </row>
    <row r="16" spans="1:6" ht="108" x14ac:dyDescent="0.3">
      <c r="A16" s="3" t="s">
        <v>32</v>
      </c>
      <c r="B16" s="2" t="s">
        <v>129</v>
      </c>
      <c r="C16" s="3" t="s">
        <v>25</v>
      </c>
      <c r="D16" s="8" t="s">
        <v>39</v>
      </c>
      <c r="E16" s="6" t="s">
        <v>65</v>
      </c>
      <c r="F16" s="2" t="s">
        <v>60</v>
      </c>
    </row>
    <row r="17" spans="1:6" ht="108" x14ac:dyDescent="0.3">
      <c r="A17" s="3" t="s">
        <v>33</v>
      </c>
      <c r="B17" s="2" t="s">
        <v>24</v>
      </c>
      <c r="C17" s="3" t="s">
        <v>25</v>
      </c>
      <c r="D17" s="8" t="s">
        <v>39</v>
      </c>
      <c r="E17" s="6" t="s">
        <v>66</v>
      </c>
      <c r="F17" s="2" t="s">
        <v>60</v>
      </c>
    </row>
    <row r="18" spans="1:6" ht="108" x14ac:dyDescent="0.3">
      <c r="A18" s="3" t="s">
        <v>38</v>
      </c>
      <c r="B18" s="2" t="s">
        <v>26</v>
      </c>
      <c r="C18" s="3" t="s">
        <v>25</v>
      </c>
      <c r="D18" s="8" t="s">
        <v>39</v>
      </c>
      <c r="E18" s="6" t="s">
        <v>67</v>
      </c>
      <c r="F18" s="2" t="s">
        <v>60</v>
      </c>
    </row>
    <row r="19" spans="1:6" ht="108" x14ac:dyDescent="0.3">
      <c r="A19" s="3" t="s">
        <v>61</v>
      </c>
      <c r="B19" s="2" t="s">
        <v>27</v>
      </c>
      <c r="C19" s="3" t="s">
        <v>25</v>
      </c>
      <c r="D19" s="8" t="s">
        <v>39</v>
      </c>
      <c r="E19" s="6" t="s">
        <v>68</v>
      </c>
      <c r="F19" s="2" t="s">
        <v>60</v>
      </c>
    </row>
    <row r="20" spans="1:6" ht="54" x14ac:dyDescent="0.3">
      <c r="A20" s="3" t="s">
        <v>62</v>
      </c>
      <c r="B20" s="2" t="s">
        <v>34</v>
      </c>
      <c r="C20" s="3" t="s">
        <v>25</v>
      </c>
      <c r="D20" s="3" t="s">
        <v>40</v>
      </c>
      <c r="E20" s="6" t="s">
        <v>58</v>
      </c>
      <c r="F20" s="2" t="s">
        <v>69</v>
      </c>
    </row>
    <row r="21" spans="1:6" ht="54" x14ac:dyDescent="0.3">
      <c r="A21" s="3" t="s">
        <v>164</v>
      </c>
      <c r="B21" s="2" t="s">
        <v>75</v>
      </c>
      <c r="C21" s="3" t="s">
        <v>71</v>
      </c>
      <c r="D21" s="3" t="s">
        <v>39</v>
      </c>
      <c r="E21" s="6" t="s">
        <v>143</v>
      </c>
      <c r="F21" s="2" t="s">
        <v>70</v>
      </c>
    </row>
    <row r="22" spans="1:6" ht="54" x14ac:dyDescent="0.3">
      <c r="A22" s="3" t="s">
        <v>165</v>
      </c>
      <c r="B22" s="2" t="s">
        <v>72</v>
      </c>
      <c r="C22" s="3" t="s">
        <v>71</v>
      </c>
      <c r="D22" s="3" t="s">
        <v>39</v>
      </c>
      <c r="E22" s="6" t="s">
        <v>92</v>
      </c>
      <c r="F22" s="2" t="s">
        <v>76</v>
      </c>
    </row>
    <row r="23" spans="1:6" ht="90" x14ac:dyDescent="0.3">
      <c r="A23" s="3" t="s">
        <v>166</v>
      </c>
      <c r="B23" s="2" t="s">
        <v>73</v>
      </c>
      <c r="C23" s="3" t="s">
        <v>71</v>
      </c>
      <c r="D23" s="3" t="s">
        <v>39</v>
      </c>
      <c r="E23" s="6" t="s">
        <v>144</v>
      </c>
      <c r="F23" s="2" t="s">
        <v>74</v>
      </c>
    </row>
    <row r="24" spans="1:6" ht="54" x14ac:dyDescent="0.3">
      <c r="A24" s="3" t="s">
        <v>167</v>
      </c>
      <c r="B24" s="2" t="s">
        <v>98</v>
      </c>
      <c r="C24" s="3" t="s">
        <v>71</v>
      </c>
      <c r="D24" s="3" t="s">
        <v>39</v>
      </c>
      <c r="E24" s="6" t="s">
        <v>145</v>
      </c>
      <c r="F24" s="2" t="s">
        <v>82</v>
      </c>
    </row>
    <row r="25" spans="1:6" ht="54" x14ac:dyDescent="0.3">
      <c r="A25" s="3" t="s">
        <v>168</v>
      </c>
      <c r="B25" s="2" t="s">
        <v>77</v>
      </c>
      <c r="C25" s="3" t="s">
        <v>78</v>
      </c>
      <c r="D25" s="3" t="s">
        <v>39</v>
      </c>
      <c r="E25" s="6" t="s">
        <v>146</v>
      </c>
      <c r="F25" s="2" t="s">
        <v>79</v>
      </c>
    </row>
    <row r="26" spans="1:6" ht="54" x14ac:dyDescent="0.3">
      <c r="A26" s="3" t="s">
        <v>169</v>
      </c>
      <c r="B26" s="5" t="s">
        <v>80</v>
      </c>
      <c r="C26" s="3" t="s">
        <v>71</v>
      </c>
      <c r="D26" s="3" t="s">
        <v>39</v>
      </c>
      <c r="E26" s="6" t="s">
        <v>147</v>
      </c>
      <c r="F26" s="2" t="s">
        <v>70</v>
      </c>
    </row>
    <row r="27" spans="1:6" ht="54" x14ac:dyDescent="0.3">
      <c r="A27" s="3" t="s">
        <v>170</v>
      </c>
      <c r="B27" s="2" t="s">
        <v>81</v>
      </c>
      <c r="C27" s="3" t="s">
        <v>71</v>
      </c>
      <c r="D27" s="3" t="s">
        <v>39</v>
      </c>
      <c r="E27" s="6" t="s">
        <v>145</v>
      </c>
      <c r="F27" s="2" t="s">
        <v>82</v>
      </c>
    </row>
    <row r="28" spans="1:6" ht="54" x14ac:dyDescent="0.3">
      <c r="A28" s="3" t="s">
        <v>171</v>
      </c>
      <c r="B28" s="2" t="s">
        <v>84</v>
      </c>
      <c r="C28" s="3" t="s">
        <v>71</v>
      </c>
      <c r="D28" s="3" t="s">
        <v>39</v>
      </c>
      <c r="E28" s="6" t="s">
        <v>93</v>
      </c>
      <c r="F28" s="2" t="s">
        <v>83</v>
      </c>
    </row>
    <row r="29" spans="1:6" ht="90" x14ac:dyDescent="0.3">
      <c r="A29" s="3" t="s">
        <v>172</v>
      </c>
      <c r="B29" s="2" t="s">
        <v>85</v>
      </c>
      <c r="C29" s="3" t="s">
        <v>78</v>
      </c>
      <c r="D29" s="3" t="s">
        <v>39</v>
      </c>
      <c r="E29" s="6" t="s">
        <v>94</v>
      </c>
      <c r="F29" s="6" t="s">
        <v>86</v>
      </c>
    </row>
    <row r="30" spans="1:6" ht="72" x14ac:dyDescent="0.3">
      <c r="A30" s="3" t="s">
        <v>173</v>
      </c>
      <c r="B30" s="2" t="s">
        <v>215</v>
      </c>
      <c r="C30" s="3" t="s">
        <v>87</v>
      </c>
      <c r="D30" s="3" t="s">
        <v>39</v>
      </c>
      <c r="E30" s="6" t="s">
        <v>216</v>
      </c>
      <c r="F30" s="6" t="s">
        <v>88</v>
      </c>
    </row>
    <row r="31" spans="1:6" ht="90" x14ac:dyDescent="0.3">
      <c r="A31" s="3" t="s">
        <v>174</v>
      </c>
      <c r="B31" s="2" t="s">
        <v>89</v>
      </c>
      <c r="C31" s="3" t="s">
        <v>87</v>
      </c>
      <c r="D31" s="3" t="s">
        <v>40</v>
      </c>
      <c r="E31" s="2" t="s">
        <v>90</v>
      </c>
      <c r="F31" s="2" t="s">
        <v>91</v>
      </c>
    </row>
  </sheetData>
  <phoneticPr fontId="3" type="noConversion"/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6CE3-E2CB-436F-8B9E-69EE0EFD64F3}">
  <sheetPr codeName="Лист5"/>
  <dimension ref="A1:E20"/>
  <sheetViews>
    <sheetView workbookViewId="0">
      <selection activeCell="D4" sqref="D4:E16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39" t="s">
        <v>105</v>
      </c>
      <c r="B1" s="39"/>
      <c r="C1" s="39"/>
      <c r="D1" s="39"/>
      <c r="E1" s="39"/>
    </row>
    <row r="2" spans="1:5" x14ac:dyDescent="0.35">
      <c r="A2" s="40" t="s">
        <v>101</v>
      </c>
      <c r="B2" s="40"/>
      <c r="C2" s="40"/>
      <c r="D2" s="40"/>
      <c r="E2" s="40"/>
    </row>
    <row r="3" spans="1:5" x14ac:dyDescent="0.35">
      <c r="A3" s="23" t="s">
        <v>100</v>
      </c>
      <c r="B3" s="23" t="s">
        <v>37</v>
      </c>
      <c r="C3" s="23" t="s">
        <v>103</v>
      </c>
      <c r="D3" s="23" t="s">
        <v>102</v>
      </c>
      <c r="E3" s="23" t="s">
        <v>104</v>
      </c>
    </row>
    <row r="4" spans="1:5" x14ac:dyDescent="0.35">
      <c r="A4" s="22"/>
      <c r="B4" s="24"/>
      <c r="C4" s="22"/>
      <c r="D4" s="24"/>
      <c r="E4" s="24"/>
    </row>
    <row r="5" spans="1:5" x14ac:dyDescent="0.35">
      <c r="A5" s="22"/>
      <c r="B5" s="24"/>
      <c r="C5" s="22"/>
      <c r="D5" s="24"/>
      <c r="E5" s="24"/>
    </row>
    <row r="6" spans="1:5" x14ac:dyDescent="0.35">
      <c r="A6" s="22"/>
      <c r="B6" s="24"/>
      <c r="C6" s="22"/>
      <c r="D6" s="24"/>
      <c r="E6" s="24"/>
    </row>
    <row r="7" spans="1:5" x14ac:dyDescent="0.35">
      <c r="A7" s="22"/>
      <c r="B7" s="24"/>
      <c r="C7" s="22"/>
      <c r="D7" s="24"/>
      <c r="E7" s="24"/>
    </row>
    <row r="8" spans="1:5" x14ac:dyDescent="0.35">
      <c r="A8" s="22"/>
      <c r="B8" s="24"/>
      <c r="C8" s="22"/>
      <c r="D8" s="24"/>
      <c r="E8" s="24"/>
    </row>
    <row r="9" spans="1:5" x14ac:dyDescent="0.35">
      <c r="A9" s="22"/>
      <c r="B9" s="24"/>
      <c r="C9" s="22"/>
      <c r="D9" s="24"/>
      <c r="E9" s="24"/>
    </row>
    <row r="10" spans="1:5" x14ac:dyDescent="0.35">
      <c r="A10" s="22"/>
      <c r="B10" s="24"/>
      <c r="C10" s="22"/>
      <c r="D10" s="24"/>
      <c r="E10" s="24"/>
    </row>
    <row r="11" spans="1:5" x14ac:dyDescent="0.35">
      <c r="A11" s="22"/>
      <c r="B11" s="24"/>
      <c r="C11" s="22"/>
      <c r="D11" s="24"/>
      <c r="E11" s="24"/>
    </row>
    <row r="12" spans="1:5" x14ac:dyDescent="0.35">
      <c r="A12" s="22"/>
      <c r="B12" s="24"/>
      <c r="C12" s="22"/>
      <c r="D12" s="24"/>
      <c r="E12" s="24"/>
    </row>
    <row r="13" spans="1:5" x14ac:dyDescent="0.35">
      <c r="A13" s="22"/>
      <c r="B13" s="24"/>
      <c r="C13" s="22"/>
      <c r="D13" s="24"/>
      <c r="E13" s="24"/>
    </row>
    <row r="14" spans="1:5" x14ac:dyDescent="0.35">
      <c r="A14" s="22"/>
      <c r="B14" s="24"/>
      <c r="C14" s="22"/>
      <c r="D14" s="24"/>
      <c r="E14" s="24"/>
    </row>
    <row r="15" spans="1:5" x14ac:dyDescent="0.35">
      <c r="A15" s="22"/>
      <c r="B15" s="24"/>
      <c r="C15" s="22"/>
      <c r="D15" s="24"/>
      <c r="E15" s="24"/>
    </row>
    <row r="16" spans="1:5" x14ac:dyDescent="0.35">
      <c r="A16" s="22"/>
      <c r="B16" s="24"/>
      <c r="C16" s="22"/>
      <c r="D16" s="24"/>
      <c r="E16" s="24"/>
    </row>
    <row r="17" spans="1:5" x14ac:dyDescent="0.35">
      <c r="A17" s="22"/>
      <c r="B17" s="22"/>
      <c r="C17" s="22"/>
      <c r="D17" s="22"/>
      <c r="E17" s="22"/>
    </row>
    <row r="18" spans="1:5" x14ac:dyDescent="0.35">
      <c r="A18" s="22"/>
      <c r="B18" s="22"/>
      <c r="C18" s="22"/>
      <c r="D18" s="22"/>
      <c r="E18" s="22"/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5577-3B77-44D5-B9C3-BFE8E7852B6D}">
  <sheetPr codeName="Лист2"/>
  <dimension ref="A1:E20"/>
  <sheetViews>
    <sheetView workbookViewId="0">
      <selection activeCell="B8" sqref="B8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41" t="s">
        <v>99</v>
      </c>
      <c r="B1" s="41"/>
      <c r="C1" s="41"/>
      <c r="D1" s="41"/>
      <c r="E1" s="41"/>
    </row>
    <row r="2" spans="1:5" x14ac:dyDescent="0.35">
      <c r="A2" s="42" t="s">
        <v>106</v>
      </c>
      <c r="B2" s="42"/>
      <c r="C2" s="42"/>
      <c r="D2" s="42"/>
      <c r="E2" s="42"/>
    </row>
    <row r="3" spans="1:5" x14ac:dyDescent="0.35">
      <c r="A3" s="10" t="s">
        <v>100</v>
      </c>
      <c r="B3" s="10" t="s">
        <v>37</v>
      </c>
      <c r="C3" s="10" t="s">
        <v>103</v>
      </c>
      <c r="D3" s="10" t="s">
        <v>102</v>
      </c>
      <c r="E3" s="10" t="s">
        <v>104</v>
      </c>
    </row>
    <row r="4" spans="1:5" ht="72" x14ac:dyDescent="0.35">
      <c r="A4" s="13">
        <v>1</v>
      </c>
      <c r="B4" s="2" t="s">
        <v>111</v>
      </c>
      <c r="C4" s="14" t="s">
        <v>107</v>
      </c>
      <c r="D4" s="2" t="s">
        <v>108</v>
      </c>
      <c r="E4" s="15"/>
    </row>
    <row r="5" spans="1:5" ht="54" x14ac:dyDescent="0.35">
      <c r="A5" s="13">
        <v>2</v>
      </c>
      <c r="B5" s="2" t="s">
        <v>109</v>
      </c>
      <c r="C5" s="15"/>
      <c r="D5" s="2" t="s">
        <v>110</v>
      </c>
      <c r="E5" s="15"/>
    </row>
    <row r="6" spans="1:5" ht="54" x14ac:dyDescent="0.35">
      <c r="A6" s="13">
        <v>3</v>
      </c>
      <c r="B6" s="2" t="s">
        <v>286</v>
      </c>
      <c r="C6" s="15"/>
      <c r="D6" s="2" t="s">
        <v>114</v>
      </c>
      <c r="E6" s="15"/>
    </row>
    <row r="7" spans="1:5" x14ac:dyDescent="0.35">
      <c r="A7" s="19"/>
      <c r="B7" s="20"/>
      <c r="C7" s="34"/>
      <c r="D7" s="20"/>
      <c r="E7" s="21"/>
    </row>
    <row r="8" spans="1:5" x14ac:dyDescent="0.35">
      <c r="A8" s="12"/>
      <c r="B8" s="11"/>
      <c r="C8" s="11"/>
      <c r="D8" s="11"/>
      <c r="E8" s="11"/>
    </row>
    <row r="9" spans="1:5" x14ac:dyDescent="0.35">
      <c r="A9" s="12"/>
      <c r="B9" s="11"/>
      <c r="C9" s="11"/>
      <c r="D9" s="11"/>
      <c r="E9" s="11"/>
    </row>
    <row r="10" spans="1:5" x14ac:dyDescent="0.35">
      <c r="A10" s="12"/>
      <c r="B10" s="11"/>
      <c r="C10" s="11"/>
      <c r="D10" s="11"/>
      <c r="E10" s="11"/>
    </row>
    <row r="11" spans="1:5" x14ac:dyDescent="0.35">
      <c r="A11" s="12"/>
      <c r="B11" s="11"/>
      <c r="C11" s="11"/>
      <c r="D11" s="11"/>
      <c r="E11" s="11"/>
    </row>
    <row r="12" spans="1:5" x14ac:dyDescent="0.35">
      <c r="A12" s="12"/>
      <c r="B12" s="11"/>
      <c r="C12" s="11"/>
      <c r="D12" s="11"/>
      <c r="E12" s="11"/>
    </row>
    <row r="13" spans="1:5" x14ac:dyDescent="0.35">
      <c r="A13" s="12"/>
      <c r="B13" s="11"/>
      <c r="C13" s="11"/>
      <c r="D13" s="11"/>
      <c r="E13" s="11"/>
    </row>
    <row r="14" spans="1:5" x14ac:dyDescent="0.35">
      <c r="A14" s="12"/>
      <c r="B14" s="11"/>
      <c r="C14" s="11"/>
      <c r="D14" s="11"/>
      <c r="E14" s="11"/>
    </row>
    <row r="15" spans="1:5" x14ac:dyDescent="0.35">
      <c r="B15" s="11"/>
      <c r="C15" s="11"/>
      <c r="D15" s="11"/>
      <c r="E15" s="11"/>
    </row>
    <row r="16" spans="1:5" x14ac:dyDescent="0.35">
      <c r="B16" s="11"/>
      <c r="C16" s="11"/>
      <c r="D16" s="11"/>
      <c r="E16" s="11"/>
    </row>
    <row r="17" spans="2:5" x14ac:dyDescent="0.35">
      <c r="B17" s="11"/>
      <c r="C17" s="11"/>
      <c r="D17" s="11"/>
      <c r="E17" s="11"/>
    </row>
    <row r="18" spans="2:5" x14ac:dyDescent="0.35">
      <c r="B18" s="11"/>
      <c r="C18" s="11"/>
      <c r="D18" s="11"/>
      <c r="E18" s="11"/>
    </row>
    <row r="19" spans="2:5" x14ac:dyDescent="0.35">
      <c r="B19" s="11"/>
      <c r="C19" s="11"/>
      <c r="D19" s="11"/>
      <c r="E19" s="11"/>
    </row>
    <row r="20" spans="2:5" x14ac:dyDescent="0.35">
      <c r="B20" s="11"/>
      <c r="C20" s="11"/>
      <c r="D20" s="11"/>
      <c r="E20" s="11"/>
    </row>
  </sheetData>
  <mergeCells count="2">
    <mergeCell ref="A1:E1"/>
    <mergeCell ref="A2:E2"/>
  </mergeCells>
  <hyperlinks>
    <hyperlink ref="C4" r:id="rId1" xr:uid="{32DEC679-CFC7-4375-953B-C71C31ADC09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3E18-4FB6-45D5-8EA4-27BD82F57968}">
  <sheetPr codeName="Лист3"/>
  <dimension ref="A1:E16"/>
  <sheetViews>
    <sheetView workbookViewId="0">
      <selection activeCell="B5" sqref="B5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41" t="s">
        <v>115</v>
      </c>
      <c r="B1" s="41"/>
      <c r="C1" s="41"/>
      <c r="D1" s="41"/>
      <c r="E1" s="41"/>
    </row>
    <row r="2" spans="1:5" ht="77.400000000000006" customHeight="1" x14ac:dyDescent="0.35">
      <c r="A2" s="43" t="s">
        <v>116</v>
      </c>
      <c r="B2" s="43"/>
      <c r="C2" s="43"/>
      <c r="D2" s="43"/>
      <c r="E2" s="43"/>
    </row>
    <row r="3" spans="1:5" x14ac:dyDescent="0.35">
      <c r="A3" s="10" t="s">
        <v>100</v>
      </c>
      <c r="B3" s="10" t="s">
        <v>37</v>
      </c>
      <c r="C3" s="10" t="s">
        <v>103</v>
      </c>
      <c r="D3" s="10" t="s">
        <v>102</v>
      </c>
      <c r="E3" s="10" t="s">
        <v>104</v>
      </c>
    </row>
    <row r="4" spans="1:5" ht="43.8" x14ac:dyDescent="0.35">
      <c r="A4" s="3">
        <v>1</v>
      </c>
      <c r="B4" s="2" t="s">
        <v>287</v>
      </c>
      <c r="C4" s="16" t="s">
        <v>113</v>
      </c>
      <c r="D4" s="2" t="s">
        <v>118</v>
      </c>
      <c r="E4" s="15"/>
    </row>
    <row r="5" spans="1:5" ht="36" x14ac:dyDescent="0.35">
      <c r="A5" s="3">
        <v>2</v>
      </c>
      <c r="B5" s="15" t="s">
        <v>119</v>
      </c>
      <c r="C5" s="15"/>
      <c r="D5" s="15" t="s">
        <v>120</v>
      </c>
      <c r="E5" s="15"/>
    </row>
    <row r="6" spans="1:5" x14ac:dyDescent="0.35">
      <c r="A6" s="11"/>
      <c r="B6" s="11"/>
      <c r="C6" s="11"/>
      <c r="D6" s="11"/>
      <c r="E6" s="11"/>
    </row>
    <row r="7" spans="1:5" x14ac:dyDescent="0.35">
      <c r="A7" s="11"/>
      <c r="B7" s="11"/>
      <c r="C7" s="11"/>
      <c r="D7" s="11"/>
      <c r="E7" s="11"/>
    </row>
    <row r="8" spans="1:5" x14ac:dyDescent="0.35">
      <c r="A8" s="11"/>
      <c r="B8" s="11"/>
      <c r="C8" s="11"/>
      <c r="D8" s="11"/>
      <c r="E8" s="11"/>
    </row>
    <row r="9" spans="1:5" x14ac:dyDescent="0.35">
      <c r="A9" s="11"/>
      <c r="B9" s="11"/>
      <c r="C9" s="11"/>
      <c r="D9" s="11"/>
      <c r="E9" s="11"/>
    </row>
    <row r="10" spans="1:5" x14ac:dyDescent="0.35">
      <c r="A10" s="11"/>
      <c r="B10" s="11"/>
      <c r="C10" s="11"/>
      <c r="D10" s="11"/>
      <c r="E10" s="11"/>
    </row>
    <row r="11" spans="1:5" x14ac:dyDescent="0.35">
      <c r="A11" s="11"/>
      <c r="B11" s="11"/>
      <c r="C11" s="11"/>
      <c r="D11" s="11"/>
      <c r="E11" s="11"/>
    </row>
    <row r="12" spans="1:5" x14ac:dyDescent="0.35">
      <c r="A12" s="11"/>
      <c r="B12" s="11"/>
      <c r="C12" s="11"/>
      <c r="D12" s="11"/>
      <c r="E12" s="11"/>
    </row>
    <row r="13" spans="1:5" x14ac:dyDescent="0.35">
      <c r="A13" s="11"/>
      <c r="B13" s="11"/>
      <c r="C13" s="11"/>
      <c r="D13" s="11"/>
      <c r="E13" s="11"/>
    </row>
    <row r="14" spans="1:5" x14ac:dyDescent="0.35">
      <c r="A14" s="11"/>
      <c r="B14" s="11"/>
      <c r="C14" s="11"/>
      <c r="D14" s="11"/>
      <c r="E14" s="11"/>
    </row>
    <row r="15" spans="1:5" x14ac:dyDescent="0.35">
      <c r="A15" s="11"/>
      <c r="B15" s="11"/>
      <c r="C15" s="11"/>
      <c r="D15" s="11"/>
      <c r="E15" s="11"/>
    </row>
    <row r="16" spans="1:5" x14ac:dyDescent="0.35">
      <c r="A16" s="11"/>
      <c r="B16" s="11"/>
      <c r="C16" s="11"/>
      <c r="D16" s="11"/>
      <c r="E16" s="11"/>
    </row>
  </sheetData>
  <mergeCells count="2">
    <mergeCell ref="A1:E1"/>
    <mergeCell ref="A2:E2"/>
  </mergeCells>
  <hyperlinks>
    <hyperlink ref="C4" r:id="rId1" xr:uid="{30F4B6E5-B0F9-4A10-82A1-D1D9A47448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CD1E-71CE-4FD0-BCC3-DE9588620132}">
  <sheetPr codeName="Лист4"/>
  <dimension ref="A1:E6"/>
  <sheetViews>
    <sheetView workbookViewId="0">
      <selection activeCell="B4" sqref="B4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41" t="s">
        <v>121</v>
      </c>
      <c r="B1" s="41"/>
      <c r="C1" s="41"/>
      <c r="D1" s="41"/>
      <c r="E1" s="41"/>
    </row>
    <row r="2" spans="1:5" ht="77.400000000000006" customHeight="1" x14ac:dyDescent="0.35">
      <c r="A2" s="43" t="s">
        <v>116</v>
      </c>
      <c r="B2" s="43"/>
      <c r="C2" s="43"/>
      <c r="D2" s="43"/>
      <c r="E2" s="43"/>
    </row>
    <row r="3" spans="1:5" x14ac:dyDescent="0.35">
      <c r="A3" s="10" t="s">
        <v>100</v>
      </c>
      <c r="B3" s="10" t="s">
        <v>37</v>
      </c>
      <c r="C3" s="10" t="s">
        <v>103</v>
      </c>
      <c r="D3" s="10" t="s">
        <v>102</v>
      </c>
      <c r="E3" s="10" t="s">
        <v>104</v>
      </c>
    </row>
    <row r="4" spans="1:5" ht="72" x14ac:dyDescent="0.35">
      <c r="A4" s="13">
        <v>1</v>
      </c>
      <c r="B4" s="2" t="s">
        <v>122</v>
      </c>
      <c r="C4" s="15"/>
      <c r="D4" s="2" t="s">
        <v>112</v>
      </c>
      <c r="E4" s="15"/>
    </row>
    <row r="5" spans="1:5" x14ac:dyDescent="0.35">
      <c r="A5" s="19"/>
      <c r="B5" s="20"/>
      <c r="C5" s="21"/>
      <c r="D5" s="20"/>
      <c r="E5" s="21"/>
    </row>
    <row r="6" spans="1:5" x14ac:dyDescent="0.35">
      <c r="A6" s="19"/>
      <c r="B6" s="20"/>
      <c r="C6" s="21"/>
      <c r="D6" s="20"/>
      <c r="E6" s="21"/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2C11-C2D4-47B0-B49B-68D9A9B794FD}">
  <sheetPr codeName="Лист6"/>
  <dimension ref="A1:E14"/>
  <sheetViews>
    <sheetView workbookViewId="0">
      <selection sqref="A1:E1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41" t="s">
        <v>123</v>
      </c>
      <c r="B1" s="41"/>
      <c r="C1" s="41"/>
      <c r="D1" s="41"/>
      <c r="E1" s="41"/>
    </row>
    <row r="2" spans="1:5" ht="77.400000000000006" customHeight="1" x14ac:dyDescent="0.35">
      <c r="A2" s="44" t="s">
        <v>124</v>
      </c>
      <c r="B2" s="45"/>
      <c r="C2" s="45"/>
      <c r="D2" s="45"/>
      <c r="E2" s="46"/>
    </row>
    <row r="3" spans="1:5" x14ac:dyDescent="0.35">
      <c r="A3" s="10" t="s">
        <v>100</v>
      </c>
      <c r="B3" s="10" t="s">
        <v>37</v>
      </c>
      <c r="C3" s="10" t="s">
        <v>103</v>
      </c>
      <c r="D3" s="10" t="s">
        <v>102</v>
      </c>
      <c r="E3" s="10" t="s">
        <v>104</v>
      </c>
    </row>
    <row r="4" spans="1:5" ht="198" x14ac:dyDescent="0.35">
      <c r="A4" s="3">
        <v>1</v>
      </c>
      <c r="B4" s="17" t="s">
        <v>126</v>
      </c>
      <c r="C4" s="3">
        <v>-5</v>
      </c>
      <c r="D4" s="17" t="s">
        <v>131</v>
      </c>
      <c r="E4" s="17" t="s">
        <v>132</v>
      </c>
    </row>
    <row r="5" spans="1:5" ht="72" x14ac:dyDescent="0.35">
      <c r="A5" s="3">
        <v>2</v>
      </c>
      <c r="B5" s="2" t="s">
        <v>117</v>
      </c>
      <c r="C5" s="14"/>
      <c r="D5" s="2" t="s">
        <v>125</v>
      </c>
      <c r="E5" s="3"/>
    </row>
    <row r="6" spans="1:5" x14ac:dyDescent="0.35">
      <c r="A6" s="22"/>
      <c r="B6" s="22"/>
      <c r="C6" s="22"/>
      <c r="D6" s="22"/>
      <c r="E6" s="22"/>
    </row>
    <row r="7" spans="1:5" x14ac:dyDescent="0.35">
      <c r="A7" s="22"/>
      <c r="B7" s="22"/>
      <c r="C7" s="22"/>
      <c r="D7" s="22"/>
      <c r="E7" s="22"/>
    </row>
    <row r="8" spans="1:5" x14ac:dyDescent="0.35">
      <c r="A8" s="22"/>
      <c r="B8" s="22"/>
      <c r="C8" s="22"/>
      <c r="D8" s="22"/>
      <c r="E8" s="22"/>
    </row>
    <row r="9" spans="1:5" x14ac:dyDescent="0.35">
      <c r="A9" s="11"/>
      <c r="B9" s="11"/>
      <c r="C9" s="11"/>
      <c r="D9" s="11"/>
      <c r="E9" s="11"/>
    </row>
    <row r="10" spans="1:5" x14ac:dyDescent="0.35">
      <c r="A10" s="11"/>
      <c r="B10" s="11"/>
      <c r="C10" s="11"/>
      <c r="D10" s="11"/>
      <c r="E10" s="11"/>
    </row>
    <row r="11" spans="1:5" x14ac:dyDescent="0.35">
      <c r="A11" s="11"/>
      <c r="B11" s="11"/>
      <c r="C11" s="11"/>
      <c r="D11" s="11"/>
      <c r="E11" s="11"/>
    </row>
    <row r="12" spans="1:5" x14ac:dyDescent="0.35">
      <c r="A12" s="11"/>
      <c r="B12" s="11"/>
      <c r="C12" s="11"/>
      <c r="D12" s="11"/>
      <c r="E12" s="11"/>
    </row>
    <row r="13" spans="1:5" x14ac:dyDescent="0.35">
      <c r="A13" s="11"/>
      <c r="B13" s="11"/>
      <c r="C13" s="11"/>
      <c r="D13" s="11"/>
      <c r="E13" s="11"/>
    </row>
    <row r="14" spans="1:5" x14ac:dyDescent="0.35">
      <c r="A14" s="11"/>
      <c r="B14" s="11"/>
      <c r="C14" s="11"/>
      <c r="D14" s="11"/>
      <c r="E14" s="11"/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E752-4B82-4BBB-B21C-6380A2BBA6FA}">
  <sheetPr codeName="Лист7"/>
  <dimension ref="A1:E14"/>
  <sheetViews>
    <sheetView workbookViewId="0">
      <selection sqref="A1:E1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41" t="s">
        <v>128</v>
      </c>
      <c r="B1" s="41"/>
      <c r="C1" s="41"/>
      <c r="D1" s="41"/>
      <c r="E1" s="41"/>
    </row>
    <row r="2" spans="1:5" ht="77.400000000000006" customHeight="1" x14ac:dyDescent="0.35">
      <c r="A2" s="44" t="s">
        <v>124</v>
      </c>
      <c r="B2" s="45"/>
      <c r="C2" s="45"/>
      <c r="D2" s="45"/>
      <c r="E2" s="46"/>
    </row>
    <row r="3" spans="1:5" x14ac:dyDescent="0.35">
      <c r="A3" s="10" t="s">
        <v>100</v>
      </c>
      <c r="B3" s="10" t="s">
        <v>37</v>
      </c>
      <c r="C3" s="10" t="s">
        <v>103</v>
      </c>
      <c r="D3" s="10" t="s">
        <v>102</v>
      </c>
      <c r="E3" s="10" t="s">
        <v>104</v>
      </c>
    </row>
    <row r="4" spans="1:5" ht="180" x14ac:dyDescent="0.35">
      <c r="A4" s="3">
        <v>1</v>
      </c>
      <c r="B4" s="17" t="s">
        <v>130</v>
      </c>
      <c r="C4" s="3" t="s">
        <v>127</v>
      </c>
      <c r="D4" s="17" t="s">
        <v>131</v>
      </c>
      <c r="E4" s="17" t="s">
        <v>133</v>
      </c>
    </row>
    <row r="5" spans="1:5" ht="72" x14ac:dyDescent="0.35">
      <c r="A5" s="3">
        <v>2</v>
      </c>
      <c r="B5" s="2" t="s">
        <v>117</v>
      </c>
      <c r="C5" s="14"/>
      <c r="D5" s="2" t="s">
        <v>125</v>
      </c>
      <c r="E5" s="3"/>
    </row>
    <row r="6" spans="1:5" x14ac:dyDescent="0.35">
      <c r="A6" s="22"/>
      <c r="B6" s="22"/>
      <c r="C6" s="22"/>
      <c r="D6" s="22"/>
      <c r="E6" s="22"/>
    </row>
    <row r="7" spans="1:5" x14ac:dyDescent="0.35">
      <c r="A7" s="22"/>
      <c r="B7" s="22"/>
      <c r="C7" s="22"/>
      <c r="D7" s="22"/>
      <c r="E7" s="22"/>
    </row>
    <row r="8" spans="1:5" x14ac:dyDescent="0.35">
      <c r="A8" s="22"/>
      <c r="B8" s="22"/>
      <c r="C8" s="22"/>
      <c r="D8" s="22"/>
      <c r="E8" s="22"/>
    </row>
    <row r="9" spans="1:5" x14ac:dyDescent="0.35">
      <c r="A9" s="11"/>
      <c r="B9" s="11"/>
      <c r="C9" s="11"/>
      <c r="D9" s="11"/>
      <c r="E9" s="11"/>
    </row>
    <row r="10" spans="1:5" x14ac:dyDescent="0.35">
      <c r="A10" s="11"/>
      <c r="B10" s="11"/>
      <c r="C10" s="11"/>
      <c r="D10" s="11"/>
      <c r="E10" s="11"/>
    </row>
    <row r="11" spans="1:5" x14ac:dyDescent="0.35">
      <c r="A11" s="11"/>
      <c r="B11" s="11"/>
      <c r="C11" s="11"/>
      <c r="D11" s="11"/>
      <c r="E11" s="11"/>
    </row>
    <row r="12" spans="1:5" x14ac:dyDescent="0.35">
      <c r="A12" s="11"/>
      <c r="B12" s="11"/>
      <c r="C12" s="11"/>
      <c r="D12" s="11"/>
      <c r="E12" s="11"/>
    </row>
    <row r="13" spans="1:5" x14ac:dyDescent="0.35">
      <c r="A13" s="11"/>
      <c r="B13" s="11"/>
      <c r="C13" s="11"/>
      <c r="D13" s="11"/>
      <c r="E13" s="11"/>
    </row>
    <row r="14" spans="1:5" x14ac:dyDescent="0.35">
      <c r="A14" s="11"/>
      <c r="B14" s="11"/>
      <c r="C14" s="11"/>
      <c r="D14" s="11"/>
      <c r="E14" s="11"/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8D32-BB8A-4A11-AD2A-D6F56A115257}">
  <sheetPr codeName="Лист8"/>
  <dimension ref="A1:E20"/>
  <sheetViews>
    <sheetView workbookViewId="0">
      <selection sqref="A1:E1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39" t="s">
        <v>196</v>
      </c>
      <c r="B1" s="39"/>
      <c r="C1" s="39"/>
      <c r="D1" s="39"/>
      <c r="E1" s="39"/>
    </row>
    <row r="2" spans="1:5" ht="18" customHeight="1" x14ac:dyDescent="0.35">
      <c r="A2" s="42" t="s">
        <v>106</v>
      </c>
      <c r="B2" s="42"/>
      <c r="C2" s="42"/>
      <c r="D2" s="42"/>
      <c r="E2" s="42"/>
    </row>
    <row r="3" spans="1:5" x14ac:dyDescent="0.35">
      <c r="A3" s="23" t="s">
        <v>100</v>
      </c>
      <c r="B3" s="23" t="s">
        <v>37</v>
      </c>
      <c r="C3" s="23" t="s">
        <v>103</v>
      </c>
      <c r="D3" s="23" t="s">
        <v>102</v>
      </c>
      <c r="E3" s="23" t="s">
        <v>104</v>
      </c>
    </row>
    <row r="4" spans="1:5" ht="72" x14ac:dyDescent="0.35">
      <c r="A4" s="13">
        <v>1</v>
      </c>
      <c r="B4" s="2" t="s">
        <v>111</v>
      </c>
      <c r="C4" s="14" t="s">
        <v>107</v>
      </c>
      <c r="D4" s="2" t="s">
        <v>108</v>
      </c>
      <c r="E4" s="15"/>
    </row>
    <row r="5" spans="1:5" ht="36" x14ac:dyDescent="0.35">
      <c r="A5" s="13">
        <v>2</v>
      </c>
      <c r="B5" s="2" t="s">
        <v>197</v>
      </c>
      <c r="C5" s="3" t="s">
        <v>198</v>
      </c>
      <c r="D5" s="2" t="s">
        <v>199</v>
      </c>
      <c r="E5" s="15"/>
    </row>
    <row r="6" spans="1:5" ht="36" x14ac:dyDescent="0.35">
      <c r="A6" s="3">
        <v>3</v>
      </c>
      <c r="B6" s="2" t="s">
        <v>201</v>
      </c>
      <c r="C6" s="3"/>
      <c r="D6" s="29" t="s">
        <v>200</v>
      </c>
      <c r="E6" s="29"/>
    </row>
    <row r="7" spans="1:5" ht="36" x14ac:dyDescent="0.35">
      <c r="A7" s="3">
        <v>4</v>
      </c>
      <c r="B7" s="29" t="s">
        <v>202</v>
      </c>
      <c r="C7" s="3"/>
      <c r="D7" s="29" t="s">
        <v>203</v>
      </c>
      <c r="E7" s="29"/>
    </row>
    <row r="8" spans="1:5" x14ac:dyDescent="0.35">
      <c r="A8" s="22"/>
      <c r="B8" s="24"/>
      <c r="C8" s="22"/>
      <c r="D8" s="24"/>
      <c r="E8" s="24"/>
    </row>
    <row r="9" spans="1:5" x14ac:dyDescent="0.35">
      <c r="A9" s="22"/>
      <c r="B9" s="24"/>
      <c r="C9" s="22"/>
      <c r="D9" s="24"/>
      <c r="E9" s="24"/>
    </row>
    <row r="10" spans="1:5" x14ac:dyDescent="0.35">
      <c r="A10" s="22"/>
      <c r="B10" s="24"/>
      <c r="C10" s="22"/>
      <c r="D10" s="24"/>
      <c r="E10" s="24"/>
    </row>
    <row r="11" spans="1:5" x14ac:dyDescent="0.35">
      <c r="A11" s="22"/>
      <c r="B11" s="24"/>
      <c r="C11" s="22"/>
      <c r="D11" s="24"/>
      <c r="E11" s="24"/>
    </row>
    <row r="12" spans="1:5" x14ac:dyDescent="0.35">
      <c r="A12" s="22"/>
      <c r="B12" s="24"/>
      <c r="C12" s="22"/>
      <c r="D12" s="24"/>
      <c r="E12" s="24"/>
    </row>
    <row r="13" spans="1:5" x14ac:dyDescent="0.35">
      <c r="A13" s="22"/>
      <c r="B13" s="24"/>
      <c r="C13" s="22"/>
      <c r="D13" s="24"/>
      <c r="E13" s="24"/>
    </row>
    <row r="14" spans="1:5" x14ac:dyDescent="0.35">
      <c r="A14" s="22"/>
      <c r="B14" s="24"/>
      <c r="C14" s="22"/>
      <c r="D14" s="24"/>
      <c r="E14" s="24"/>
    </row>
    <row r="15" spans="1:5" x14ac:dyDescent="0.35">
      <c r="A15" s="22"/>
      <c r="B15" s="24"/>
      <c r="C15" s="22"/>
      <c r="D15" s="24"/>
      <c r="E15" s="24"/>
    </row>
    <row r="16" spans="1:5" x14ac:dyDescent="0.35">
      <c r="A16" s="22"/>
      <c r="B16" s="24"/>
      <c r="C16" s="22"/>
      <c r="D16" s="24"/>
      <c r="E16" s="24"/>
    </row>
    <row r="17" spans="1:5" x14ac:dyDescent="0.35">
      <c r="A17" s="22"/>
      <c r="B17" s="22"/>
      <c r="C17" s="22"/>
      <c r="D17" s="22"/>
      <c r="E17" s="22"/>
    </row>
    <row r="18" spans="1:5" x14ac:dyDescent="0.35">
      <c r="A18" s="22"/>
      <c r="B18" s="22"/>
      <c r="C18" s="22"/>
      <c r="D18" s="22"/>
      <c r="E18" s="22"/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</sheetData>
  <mergeCells count="2">
    <mergeCell ref="A1:E1"/>
    <mergeCell ref="A2:E2"/>
  </mergeCells>
  <hyperlinks>
    <hyperlink ref="C4" r:id="rId1" xr:uid="{E1B7433B-3E60-4A65-BDAA-4AFBA37BA6A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84B6-414B-4E7E-BC05-051CAE1C9B67}">
  <sheetPr codeName="Лист9"/>
  <dimension ref="A1:E20"/>
  <sheetViews>
    <sheetView topLeftCell="A7" zoomScale="70" zoomScaleNormal="70" workbookViewId="0">
      <selection sqref="A1:E1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39" t="s">
        <v>175</v>
      </c>
      <c r="B1" s="39"/>
      <c r="C1" s="39"/>
      <c r="D1" s="39"/>
      <c r="E1" s="39"/>
    </row>
    <row r="2" spans="1:5" ht="77.400000000000006" customHeight="1" x14ac:dyDescent="0.35">
      <c r="A2" s="43" t="s">
        <v>134</v>
      </c>
      <c r="B2" s="43"/>
      <c r="C2" s="43"/>
      <c r="D2" s="43"/>
      <c r="E2" s="43"/>
    </row>
    <row r="3" spans="1:5" x14ac:dyDescent="0.35">
      <c r="A3" s="23" t="s">
        <v>100</v>
      </c>
      <c r="B3" s="23" t="s">
        <v>37</v>
      </c>
      <c r="C3" s="23" t="s">
        <v>103</v>
      </c>
      <c r="D3" s="23" t="s">
        <v>102</v>
      </c>
      <c r="E3" s="23" t="s">
        <v>104</v>
      </c>
    </row>
    <row r="4" spans="1:5" ht="43.2" x14ac:dyDescent="0.35">
      <c r="A4" s="3">
        <v>1</v>
      </c>
      <c r="B4" s="17" t="s">
        <v>135</v>
      </c>
      <c r="C4" s="25" t="s">
        <v>136</v>
      </c>
      <c r="D4" s="17" t="s">
        <v>137</v>
      </c>
      <c r="E4" s="17"/>
    </row>
    <row r="5" spans="1:5" ht="36" x14ac:dyDescent="0.35">
      <c r="A5" s="3">
        <v>2</v>
      </c>
      <c r="B5" s="17" t="s">
        <v>138</v>
      </c>
      <c r="C5" s="3"/>
      <c r="D5" s="17" t="s">
        <v>149</v>
      </c>
      <c r="E5" s="17"/>
    </row>
    <row r="6" spans="1:5" ht="54" x14ac:dyDescent="0.35">
      <c r="A6" s="3">
        <v>3</v>
      </c>
      <c r="B6" s="17" t="s">
        <v>139</v>
      </c>
      <c r="C6" s="3"/>
      <c r="D6" s="17" t="s">
        <v>150</v>
      </c>
      <c r="E6" s="17"/>
    </row>
    <row r="7" spans="1:5" ht="36" x14ac:dyDescent="0.35">
      <c r="A7" s="3">
        <v>4</v>
      </c>
      <c r="B7" s="17" t="s">
        <v>151</v>
      </c>
      <c r="C7" s="3" t="s">
        <v>142</v>
      </c>
      <c r="D7" s="17" t="s">
        <v>156</v>
      </c>
      <c r="E7" s="17"/>
    </row>
    <row r="8" spans="1:5" ht="36" x14ac:dyDescent="0.35">
      <c r="A8" s="3">
        <v>5</v>
      </c>
      <c r="B8" s="17" t="s">
        <v>152</v>
      </c>
      <c r="C8" s="3">
        <v>611945025</v>
      </c>
      <c r="D8" s="17" t="s">
        <v>157</v>
      </c>
      <c r="E8" s="17"/>
    </row>
    <row r="9" spans="1:5" ht="36" x14ac:dyDescent="0.35">
      <c r="A9" s="3">
        <v>6</v>
      </c>
      <c r="B9" s="17" t="s">
        <v>140</v>
      </c>
      <c r="C9" s="3" t="s">
        <v>141</v>
      </c>
      <c r="D9" s="17" t="s">
        <v>156</v>
      </c>
      <c r="E9" s="17"/>
    </row>
    <row r="10" spans="1:5" ht="36" x14ac:dyDescent="0.35">
      <c r="A10" s="3">
        <v>7</v>
      </c>
      <c r="B10" s="17" t="s">
        <v>153</v>
      </c>
      <c r="C10" s="3">
        <v>1</v>
      </c>
      <c r="D10" s="17" t="s">
        <v>158</v>
      </c>
      <c r="E10" s="17"/>
    </row>
    <row r="11" spans="1:5" ht="36" x14ac:dyDescent="0.35">
      <c r="A11" s="3">
        <v>8</v>
      </c>
      <c r="B11" s="26" t="s">
        <v>148</v>
      </c>
      <c r="C11" s="3"/>
      <c r="D11" s="17" t="s">
        <v>159</v>
      </c>
      <c r="E11" s="17"/>
    </row>
    <row r="12" spans="1:5" ht="232.8" customHeight="1" x14ac:dyDescent="0.35">
      <c r="A12" s="3">
        <v>9</v>
      </c>
      <c r="B12" s="26" t="s">
        <v>154</v>
      </c>
      <c r="C12" s="3"/>
      <c r="D12" s="17" t="s">
        <v>160</v>
      </c>
      <c r="E12" s="27" t="s">
        <v>162</v>
      </c>
    </row>
    <row r="13" spans="1:5" ht="90" x14ac:dyDescent="0.35">
      <c r="A13" s="3">
        <v>10</v>
      </c>
      <c r="B13" s="26" t="s">
        <v>155</v>
      </c>
      <c r="C13" s="3"/>
      <c r="D13" s="17" t="s">
        <v>161</v>
      </c>
      <c r="E13" s="17" t="s">
        <v>163</v>
      </c>
    </row>
    <row r="14" spans="1:5" x14ac:dyDescent="0.35">
      <c r="A14" s="22"/>
      <c r="B14" s="24"/>
      <c r="C14" s="22"/>
      <c r="D14" s="24"/>
      <c r="E14" s="24"/>
    </row>
    <row r="15" spans="1:5" x14ac:dyDescent="0.35">
      <c r="A15" s="22"/>
      <c r="B15" s="22"/>
      <c r="C15" s="22"/>
      <c r="D15" s="22"/>
      <c r="E15" s="22"/>
    </row>
    <row r="16" spans="1:5" x14ac:dyDescent="0.35">
      <c r="A16" s="22"/>
      <c r="B16" s="22"/>
      <c r="C16" s="22"/>
      <c r="D16" s="22"/>
      <c r="E16" s="22"/>
    </row>
    <row r="17" spans="1:5" x14ac:dyDescent="0.35">
      <c r="A17" s="22"/>
      <c r="B17" s="22"/>
      <c r="C17" s="22"/>
      <c r="D17" s="22"/>
      <c r="E17" s="22"/>
    </row>
    <row r="18" spans="1:5" x14ac:dyDescent="0.35">
      <c r="A18" s="22"/>
      <c r="B18" s="22"/>
      <c r="C18" s="22"/>
      <c r="D18" s="22"/>
      <c r="E18" s="22"/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</sheetData>
  <mergeCells count="2">
    <mergeCell ref="A1:E1"/>
    <mergeCell ref="A2:E2"/>
  </mergeCells>
  <hyperlinks>
    <hyperlink ref="C4" r:id="rId1" xr:uid="{3F0168B1-6C8E-4C2C-B0E0-10E29132F06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4FAB-57F9-497B-845D-CCCE55D1034E}">
  <sheetPr codeName="Лист10"/>
  <dimension ref="A1:E20"/>
  <sheetViews>
    <sheetView topLeftCell="A10" zoomScale="90" zoomScaleNormal="90" workbookViewId="0">
      <selection sqref="A1:E1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39" t="s">
        <v>176</v>
      </c>
      <c r="B1" s="39"/>
      <c r="C1" s="39"/>
      <c r="D1" s="39"/>
      <c r="E1" s="39"/>
    </row>
    <row r="2" spans="1:5" ht="90" customHeight="1" x14ac:dyDescent="0.35">
      <c r="A2" s="40" t="s">
        <v>177</v>
      </c>
      <c r="B2" s="40"/>
      <c r="C2" s="40"/>
      <c r="D2" s="40"/>
      <c r="E2" s="40"/>
    </row>
    <row r="3" spans="1:5" x14ac:dyDescent="0.35">
      <c r="A3" s="23" t="s">
        <v>100</v>
      </c>
      <c r="B3" s="23" t="s">
        <v>37</v>
      </c>
      <c r="C3" s="23" t="s">
        <v>103</v>
      </c>
      <c r="D3" s="23" t="s">
        <v>102</v>
      </c>
      <c r="E3" s="23" t="s">
        <v>104</v>
      </c>
    </row>
    <row r="4" spans="1:5" ht="43.2" x14ac:dyDescent="0.35">
      <c r="A4" s="3">
        <v>1</v>
      </c>
      <c r="B4" s="18" t="s">
        <v>135</v>
      </c>
      <c r="C4" s="25" t="s">
        <v>178</v>
      </c>
      <c r="D4" s="18" t="s">
        <v>137</v>
      </c>
      <c r="E4" s="18"/>
    </row>
    <row r="5" spans="1:5" ht="36" x14ac:dyDescent="0.35">
      <c r="A5" s="3">
        <v>2</v>
      </c>
      <c r="B5" s="26" t="s">
        <v>148</v>
      </c>
      <c r="C5" s="3"/>
      <c r="D5" s="18" t="s">
        <v>159</v>
      </c>
      <c r="E5" s="18"/>
    </row>
    <row r="6" spans="1:5" ht="158.4" customHeight="1" x14ac:dyDescent="0.35">
      <c r="A6" s="3">
        <v>3</v>
      </c>
      <c r="B6" s="2" t="s">
        <v>154</v>
      </c>
      <c r="C6" s="3"/>
      <c r="D6" s="18" t="s">
        <v>160</v>
      </c>
      <c r="E6" s="27" t="s">
        <v>179</v>
      </c>
    </row>
    <row r="7" spans="1:5" ht="72" x14ac:dyDescent="0.35">
      <c r="A7" s="3">
        <v>4</v>
      </c>
      <c r="B7" s="26" t="s">
        <v>155</v>
      </c>
      <c r="C7" s="3"/>
      <c r="D7" s="18" t="s">
        <v>180</v>
      </c>
      <c r="E7" s="18" t="s">
        <v>181</v>
      </c>
    </row>
    <row r="8" spans="1:5" x14ac:dyDescent="0.35">
      <c r="A8" s="22"/>
      <c r="B8" s="24"/>
      <c r="C8" s="22"/>
      <c r="D8" s="24"/>
      <c r="E8" s="24"/>
    </row>
    <row r="9" spans="1:5" x14ac:dyDescent="0.35">
      <c r="A9" s="22"/>
      <c r="B9" s="24"/>
      <c r="C9" s="22"/>
      <c r="D9" s="24"/>
      <c r="E9" s="24"/>
    </row>
    <row r="10" spans="1:5" x14ac:dyDescent="0.35">
      <c r="A10" s="22"/>
      <c r="B10" s="24"/>
      <c r="C10" s="22"/>
      <c r="D10" s="24"/>
      <c r="E10" s="24"/>
    </row>
    <row r="11" spans="1:5" x14ac:dyDescent="0.35">
      <c r="A11" s="22"/>
      <c r="B11" s="24"/>
      <c r="C11" s="22"/>
      <c r="D11" s="24"/>
      <c r="E11" s="24"/>
    </row>
    <row r="12" spans="1:5" x14ac:dyDescent="0.35">
      <c r="A12" s="22"/>
      <c r="B12" s="24"/>
      <c r="C12" s="22"/>
      <c r="D12" s="24"/>
      <c r="E12" s="24"/>
    </row>
    <row r="13" spans="1:5" x14ac:dyDescent="0.35">
      <c r="A13" s="22"/>
      <c r="B13" s="24"/>
      <c r="C13" s="22"/>
      <c r="D13" s="24"/>
      <c r="E13" s="24"/>
    </row>
    <row r="14" spans="1:5" x14ac:dyDescent="0.35">
      <c r="A14" s="22"/>
      <c r="B14" s="24"/>
      <c r="C14" s="22"/>
      <c r="D14" s="24"/>
      <c r="E14" s="24"/>
    </row>
    <row r="15" spans="1:5" x14ac:dyDescent="0.35">
      <c r="A15" s="22"/>
      <c r="B15" s="24"/>
      <c r="C15" s="22"/>
      <c r="D15" s="24"/>
      <c r="E15" s="24"/>
    </row>
    <row r="16" spans="1:5" x14ac:dyDescent="0.35">
      <c r="A16" s="22"/>
      <c r="B16" s="24"/>
      <c r="C16" s="22"/>
      <c r="D16" s="24"/>
      <c r="E16" s="24"/>
    </row>
    <row r="17" spans="1:5" x14ac:dyDescent="0.35">
      <c r="A17" s="22"/>
      <c r="B17" s="22"/>
      <c r="C17" s="22"/>
      <c r="D17" s="22"/>
      <c r="E17" s="22"/>
    </row>
    <row r="18" spans="1:5" x14ac:dyDescent="0.35">
      <c r="A18" s="22"/>
      <c r="B18" s="22"/>
      <c r="C18" s="22"/>
      <c r="D18" s="22"/>
      <c r="E18" s="22"/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</sheetData>
  <mergeCells count="2">
    <mergeCell ref="A1:E1"/>
    <mergeCell ref="A2:E2"/>
  </mergeCells>
  <hyperlinks>
    <hyperlink ref="C4" r:id="rId1" xr:uid="{87BEDC99-3075-4752-B42F-6C96D465720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98F5-B4ED-4541-B031-A7F03ECC3C50}">
  <sheetPr codeName="Лист12"/>
  <dimension ref="A1:E20"/>
  <sheetViews>
    <sheetView topLeftCell="A10" zoomScale="90" zoomScaleNormal="90" workbookViewId="0">
      <selection sqref="A1:E1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39" t="s">
        <v>183</v>
      </c>
      <c r="B1" s="39"/>
      <c r="C1" s="39"/>
      <c r="D1" s="39"/>
      <c r="E1" s="39"/>
    </row>
    <row r="2" spans="1:5" ht="90" customHeight="1" x14ac:dyDescent="0.35">
      <c r="A2" s="40" t="s">
        <v>184</v>
      </c>
      <c r="B2" s="40"/>
      <c r="C2" s="40"/>
      <c r="D2" s="40"/>
      <c r="E2" s="40"/>
    </row>
    <row r="3" spans="1:5" x14ac:dyDescent="0.35">
      <c r="A3" s="23" t="s">
        <v>100</v>
      </c>
      <c r="B3" s="23" t="s">
        <v>37</v>
      </c>
      <c r="C3" s="23" t="s">
        <v>103</v>
      </c>
      <c r="D3" s="23" t="s">
        <v>102</v>
      </c>
      <c r="E3" s="23" t="s">
        <v>104</v>
      </c>
    </row>
    <row r="4" spans="1:5" ht="43.2" x14ac:dyDescent="0.35">
      <c r="A4" s="3">
        <v>1</v>
      </c>
      <c r="B4" s="18" t="s">
        <v>135</v>
      </c>
      <c r="C4" s="25" t="s">
        <v>178</v>
      </c>
      <c r="D4" s="18" t="s">
        <v>137</v>
      </c>
      <c r="E4" s="18"/>
    </row>
    <row r="5" spans="1:5" ht="36" x14ac:dyDescent="0.35">
      <c r="A5" s="3">
        <v>2</v>
      </c>
      <c r="B5" s="26" t="s">
        <v>148</v>
      </c>
      <c r="C5" s="3"/>
      <c r="D5" s="18" t="s">
        <v>159</v>
      </c>
      <c r="E5" s="18"/>
    </row>
    <row r="6" spans="1:5" ht="158.4" customHeight="1" x14ac:dyDescent="0.35">
      <c r="A6" s="3">
        <v>3</v>
      </c>
      <c r="B6" s="2" t="s">
        <v>154</v>
      </c>
      <c r="C6" s="3"/>
      <c r="D6" s="18" t="s">
        <v>160</v>
      </c>
      <c r="E6" s="27" t="s">
        <v>185</v>
      </c>
    </row>
    <row r="7" spans="1:5" ht="108" x14ac:dyDescent="0.35">
      <c r="A7" s="3">
        <v>4</v>
      </c>
      <c r="B7" s="26" t="s">
        <v>155</v>
      </c>
      <c r="C7" s="3"/>
      <c r="D7" s="18" t="s">
        <v>180</v>
      </c>
      <c r="E7" s="18" t="s">
        <v>186</v>
      </c>
    </row>
    <row r="8" spans="1:5" x14ac:dyDescent="0.35">
      <c r="A8" s="22"/>
      <c r="B8" s="24"/>
      <c r="C8" s="22"/>
      <c r="D8" s="24"/>
      <c r="E8" s="24"/>
    </row>
    <row r="9" spans="1:5" x14ac:dyDescent="0.35">
      <c r="A9" s="22"/>
      <c r="B9" s="24"/>
      <c r="C9" s="22"/>
      <c r="D9" s="24"/>
      <c r="E9" s="24"/>
    </row>
    <row r="10" spans="1:5" x14ac:dyDescent="0.35">
      <c r="A10" s="22"/>
      <c r="B10" s="24"/>
      <c r="C10" s="22"/>
      <c r="D10" s="24"/>
      <c r="E10" s="24"/>
    </row>
    <row r="11" spans="1:5" x14ac:dyDescent="0.35">
      <c r="A11" s="22"/>
      <c r="B11" s="24"/>
      <c r="C11" s="22"/>
      <c r="D11" s="24"/>
      <c r="E11" s="24"/>
    </row>
    <row r="12" spans="1:5" x14ac:dyDescent="0.35">
      <c r="A12" s="22"/>
      <c r="B12" s="24"/>
      <c r="C12" s="22"/>
      <c r="D12" s="24"/>
      <c r="E12" s="24"/>
    </row>
    <row r="13" spans="1:5" x14ac:dyDescent="0.35">
      <c r="A13" s="22"/>
      <c r="B13" s="24"/>
      <c r="C13" s="22"/>
      <c r="D13" s="24"/>
      <c r="E13" s="24"/>
    </row>
    <row r="14" spans="1:5" x14ac:dyDescent="0.35">
      <c r="A14" s="22"/>
      <c r="B14" s="24"/>
      <c r="C14" s="22"/>
      <c r="D14" s="24"/>
      <c r="E14" s="24"/>
    </row>
    <row r="15" spans="1:5" x14ac:dyDescent="0.35">
      <c r="A15" s="22"/>
      <c r="B15" s="24"/>
      <c r="C15" s="22"/>
      <c r="D15" s="24"/>
      <c r="E15" s="24"/>
    </row>
    <row r="16" spans="1:5" x14ac:dyDescent="0.35">
      <c r="A16" s="22"/>
      <c r="B16" s="24"/>
      <c r="C16" s="22"/>
      <c r="D16" s="24"/>
      <c r="E16" s="24"/>
    </row>
    <row r="17" spans="1:5" x14ac:dyDescent="0.35">
      <c r="A17" s="22"/>
      <c r="B17" s="22"/>
      <c r="C17" s="22"/>
      <c r="D17" s="22"/>
      <c r="E17" s="22"/>
    </row>
    <row r="18" spans="1:5" x14ac:dyDescent="0.35">
      <c r="A18" s="22"/>
      <c r="B18" s="22"/>
      <c r="C18" s="22"/>
      <c r="D18" s="22"/>
      <c r="E18" s="22"/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</sheetData>
  <mergeCells count="2">
    <mergeCell ref="A1:E1"/>
    <mergeCell ref="A2:E2"/>
  </mergeCells>
  <hyperlinks>
    <hyperlink ref="C4" r:id="rId1" xr:uid="{5AA769F5-3CBA-4F80-AC37-9BE3CAC6367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834A-8C24-45C7-81DE-3EB521B2A2F0}">
  <sheetPr codeName="Лист13"/>
  <dimension ref="A1:E20"/>
  <sheetViews>
    <sheetView zoomScale="60" zoomScaleNormal="60" workbookViewId="0">
      <selection sqref="A1:E1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39" t="s">
        <v>187</v>
      </c>
      <c r="B1" s="39"/>
      <c r="C1" s="39"/>
      <c r="D1" s="39"/>
      <c r="E1" s="39"/>
    </row>
    <row r="2" spans="1:5" ht="90" customHeight="1" x14ac:dyDescent="0.35">
      <c r="A2" s="40" t="s">
        <v>188</v>
      </c>
      <c r="B2" s="40"/>
      <c r="C2" s="40"/>
      <c r="D2" s="40"/>
      <c r="E2" s="40"/>
    </row>
    <row r="3" spans="1:5" x14ac:dyDescent="0.35">
      <c r="A3" s="23" t="s">
        <v>100</v>
      </c>
      <c r="B3" s="23" t="s">
        <v>37</v>
      </c>
      <c r="C3" s="23" t="s">
        <v>103</v>
      </c>
      <c r="D3" s="23" t="s">
        <v>102</v>
      </c>
      <c r="E3" s="23" t="s">
        <v>104</v>
      </c>
    </row>
    <row r="4" spans="1:5" ht="43.2" x14ac:dyDescent="0.35">
      <c r="A4" s="3">
        <v>1</v>
      </c>
      <c r="B4" s="18" t="s">
        <v>135</v>
      </c>
      <c r="C4" s="25" t="s">
        <v>189</v>
      </c>
      <c r="D4" s="18" t="s">
        <v>137</v>
      </c>
      <c r="E4" s="18"/>
    </row>
    <row r="5" spans="1:5" ht="36" x14ac:dyDescent="0.35">
      <c r="A5" s="3">
        <v>2</v>
      </c>
      <c r="B5" s="18" t="s">
        <v>138</v>
      </c>
      <c r="C5" s="3"/>
      <c r="D5" s="18" t="s">
        <v>149</v>
      </c>
      <c r="E5" s="18"/>
    </row>
    <row r="6" spans="1:5" ht="54" x14ac:dyDescent="0.35">
      <c r="A6" s="3">
        <v>3</v>
      </c>
      <c r="B6" s="18" t="s">
        <v>139</v>
      </c>
      <c r="C6" s="3"/>
      <c r="D6" s="18" t="s">
        <v>150</v>
      </c>
      <c r="E6" s="18"/>
    </row>
    <row r="7" spans="1:5" ht="36" x14ac:dyDescent="0.35">
      <c r="A7" s="3">
        <v>4</v>
      </c>
      <c r="B7" s="18" t="s">
        <v>194</v>
      </c>
      <c r="C7" s="3" t="s">
        <v>190</v>
      </c>
      <c r="D7" s="18" t="s">
        <v>156</v>
      </c>
      <c r="E7" s="18"/>
    </row>
    <row r="8" spans="1:5" ht="36" x14ac:dyDescent="0.35">
      <c r="A8" s="3">
        <v>5</v>
      </c>
      <c r="B8" s="18" t="s">
        <v>195</v>
      </c>
      <c r="C8" s="3">
        <v>1</v>
      </c>
      <c r="D8" s="18" t="s">
        <v>157</v>
      </c>
      <c r="E8" s="18"/>
    </row>
    <row r="9" spans="1:5" ht="36" x14ac:dyDescent="0.35">
      <c r="A9" s="3">
        <v>6</v>
      </c>
      <c r="B9" s="18" t="s">
        <v>140</v>
      </c>
      <c r="C9" s="3" t="s">
        <v>141</v>
      </c>
      <c r="D9" s="18" t="s">
        <v>156</v>
      </c>
      <c r="E9" s="18"/>
    </row>
    <row r="10" spans="1:5" ht="36" x14ac:dyDescent="0.35">
      <c r="A10" s="3">
        <v>7</v>
      </c>
      <c r="B10" s="18" t="s">
        <v>153</v>
      </c>
      <c r="C10" s="3">
        <v>0</v>
      </c>
      <c r="D10" s="18" t="s">
        <v>158</v>
      </c>
      <c r="E10" s="18"/>
    </row>
    <row r="11" spans="1:5" ht="36" x14ac:dyDescent="0.35">
      <c r="A11" s="3">
        <v>8</v>
      </c>
      <c r="B11" s="26" t="s">
        <v>148</v>
      </c>
      <c r="C11" s="3"/>
      <c r="D11" s="18" t="s">
        <v>159</v>
      </c>
      <c r="E11" s="18"/>
    </row>
    <row r="12" spans="1:5" ht="116.4" customHeight="1" x14ac:dyDescent="0.35">
      <c r="A12" s="3">
        <v>9</v>
      </c>
      <c r="B12" s="26" t="s">
        <v>154</v>
      </c>
      <c r="C12" s="3"/>
      <c r="D12" s="18" t="s">
        <v>160</v>
      </c>
      <c r="E12" s="27" t="s">
        <v>192</v>
      </c>
    </row>
    <row r="13" spans="1:5" ht="90" x14ac:dyDescent="0.35">
      <c r="A13" s="3">
        <v>10</v>
      </c>
      <c r="B13" s="26" t="s">
        <v>155</v>
      </c>
      <c r="C13" s="3"/>
      <c r="D13" s="18" t="s">
        <v>191</v>
      </c>
      <c r="E13" s="18" t="s">
        <v>193</v>
      </c>
    </row>
    <row r="14" spans="1:5" x14ac:dyDescent="0.35">
      <c r="A14" s="22"/>
      <c r="B14" s="24"/>
      <c r="C14" s="22"/>
      <c r="D14" s="24"/>
      <c r="E14" s="24"/>
    </row>
    <row r="15" spans="1:5" x14ac:dyDescent="0.35">
      <c r="A15" s="22"/>
      <c r="B15" s="24"/>
      <c r="C15" s="22"/>
      <c r="D15" s="24"/>
      <c r="E15" s="24"/>
    </row>
    <row r="16" spans="1:5" x14ac:dyDescent="0.35">
      <c r="A16" s="22"/>
      <c r="B16" s="24"/>
      <c r="C16" s="22"/>
      <c r="D16" s="24"/>
      <c r="E16" s="24"/>
    </row>
    <row r="17" spans="1:5" x14ac:dyDescent="0.35">
      <c r="A17" s="22"/>
      <c r="B17" s="22"/>
      <c r="C17" s="22"/>
      <c r="D17" s="22"/>
      <c r="E17" s="22"/>
    </row>
    <row r="18" spans="1:5" x14ac:dyDescent="0.35">
      <c r="A18" s="22"/>
      <c r="B18" s="22"/>
      <c r="C18" s="22"/>
      <c r="D18" s="22"/>
      <c r="E18" s="22"/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</sheetData>
  <mergeCells count="2">
    <mergeCell ref="A1:E1"/>
    <mergeCell ref="A2:E2"/>
  </mergeCells>
  <hyperlinks>
    <hyperlink ref="C4" r:id="rId1" xr:uid="{13206C98-E1FC-46FD-8ABD-F6E0ADFA876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63A9-4167-405C-BBD5-4132C0C495A9}">
  <sheetPr codeName="Лист14"/>
  <dimension ref="A1:E20"/>
  <sheetViews>
    <sheetView zoomScale="60" zoomScaleNormal="60" workbookViewId="0">
      <selection sqref="A1:E1"/>
    </sheetView>
  </sheetViews>
  <sheetFormatPr defaultRowHeight="18" x14ac:dyDescent="0.35"/>
  <cols>
    <col min="1" max="1" width="8.88671875" style="9"/>
    <col min="2" max="2" width="40" style="9" customWidth="1"/>
    <col min="3" max="3" width="19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39" t="s">
        <v>211</v>
      </c>
      <c r="B1" s="39"/>
      <c r="C1" s="39"/>
      <c r="D1" s="39"/>
      <c r="E1" s="39"/>
    </row>
    <row r="2" spans="1:5" ht="77.400000000000006" customHeight="1" x14ac:dyDescent="0.35">
      <c r="A2" s="43" t="s">
        <v>134</v>
      </c>
      <c r="B2" s="43"/>
      <c r="C2" s="43"/>
      <c r="D2" s="43"/>
      <c r="E2" s="43"/>
    </row>
    <row r="3" spans="1:5" x14ac:dyDescent="0.35">
      <c r="A3" s="30" t="s">
        <v>100</v>
      </c>
      <c r="B3" s="30" t="s">
        <v>37</v>
      </c>
      <c r="C3" s="30" t="s">
        <v>103</v>
      </c>
      <c r="D3" s="30" t="s">
        <v>102</v>
      </c>
      <c r="E3" s="30" t="s">
        <v>104</v>
      </c>
    </row>
    <row r="4" spans="1:5" ht="43.2" x14ac:dyDescent="0.35">
      <c r="A4" s="3">
        <v>1</v>
      </c>
      <c r="B4" s="29" t="s">
        <v>135</v>
      </c>
      <c r="C4" s="25" t="s">
        <v>136</v>
      </c>
      <c r="D4" s="29" t="s">
        <v>137</v>
      </c>
      <c r="E4" s="29"/>
    </row>
    <row r="5" spans="1:5" ht="36" x14ac:dyDescent="0.35">
      <c r="A5" s="3">
        <v>2</v>
      </c>
      <c r="B5" s="29" t="s">
        <v>138</v>
      </c>
      <c r="C5" s="3"/>
      <c r="D5" s="29" t="s">
        <v>149</v>
      </c>
      <c r="E5" s="29"/>
    </row>
    <row r="6" spans="1:5" ht="54" x14ac:dyDescent="0.35">
      <c r="A6" s="3">
        <v>3</v>
      </c>
      <c r="B6" s="29" t="s">
        <v>139</v>
      </c>
      <c r="C6" s="3"/>
      <c r="D6" s="29" t="s">
        <v>150</v>
      </c>
      <c r="E6" s="29"/>
    </row>
    <row r="7" spans="1:5" ht="36" x14ac:dyDescent="0.35">
      <c r="A7" s="3">
        <v>4</v>
      </c>
      <c r="B7" s="29" t="s">
        <v>151</v>
      </c>
      <c r="C7" s="3" t="s">
        <v>142</v>
      </c>
      <c r="D7" s="29" t="s">
        <v>156</v>
      </c>
      <c r="E7" s="29"/>
    </row>
    <row r="8" spans="1:5" ht="36" x14ac:dyDescent="0.35">
      <c r="A8" s="3">
        <v>5</v>
      </c>
      <c r="B8" s="29" t="s">
        <v>152</v>
      </c>
      <c r="C8" s="3">
        <v>99999</v>
      </c>
      <c r="D8" s="29" t="s">
        <v>157</v>
      </c>
      <c r="E8" s="29"/>
    </row>
    <row r="9" spans="1:5" ht="36" x14ac:dyDescent="0.35">
      <c r="A9" s="3">
        <v>6</v>
      </c>
      <c r="B9" s="29" t="s">
        <v>140</v>
      </c>
      <c r="C9" s="3" t="s">
        <v>141</v>
      </c>
      <c r="D9" s="29" t="s">
        <v>156</v>
      </c>
      <c r="E9" s="29"/>
    </row>
    <row r="10" spans="1:5" ht="36" x14ac:dyDescent="0.35">
      <c r="A10" s="3">
        <v>7</v>
      </c>
      <c r="B10" s="29" t="s">
        <v>153</v>
      </c>
      <c r="C10" s="3">
        <v>1</v>
      </c>
      <c r="D10" s="29" t="s">
        <v>158</v>
      </c>
      <c r="E10" s="29"/>
    </row>
    <row r="11" spans="1:5" ht="36" x14ac:dyDescent="0.35">
      <c r="A11" s="3">
        <v>8</v>
      </c>
      <c r="B11" s="26" t="s">
        <v>148</v>
      </c>
      <c r="C11" s="3"/>
      <c r="D11" s="29" t="s">
        <v>159</v>
      </c>
      <c r="E11" s="29"/>
    </row>
    <row r="12" spans="1:5" ht="144" x14ac:dyDescent="0.35">
      <c r="A12" s="3">
        <v>9</v>
      </c>
      <c r="B12" s="26" t="s">
        <v>154</v>
      </c>
      <c r="C12" s="3"/>
      <c r="D12" s="29" t="s">
        <v>160</v>
      </c>
      <c r="E12" s="29" t="s">
        <v>213</v>
      </c>
    </row>
    <row r="13" spans="1:5" ht="108" x14ac:dyDescent="0.35">
      <c r="A13" s="3">
        <v>10</v>
      </c>
      <c r="B13" s="26" t="s">
        <v>155</v>
      </c>
      <c r="C13" s="3"/>
      <c r="D13" s="29" t="s">
        <v>212</v>
      </c>
      <c r="E13" s="29" t="s">
        <v>214</v>
      </c>
    </row>
    <row r="14" spans="1:5" x14ac:dyDescent="0.35">
      <c r="A14" s="22"/>
      <c r="B14" s="24"/>
      <c r="C14" s="22"/>
      <c r="D14" s="24"/>
      <c r="E14" s="24"/>
    </row>
    <row r="15" spans="1:5" x14ac:dyDescent="0.35">
      <c r="A15" s="22"/>
      <c r="B15" s="24"/>
      <c r="C15" s="22"/>
      <c r="D15" s="24"/>
      <c r="E15" s="24"/>
    </row>
    <row r="16" spans="1:5" x14ac:dyDescent="0.35">
      <c r="A16" s="22"/>
      <c r="B16" s="24"/>
      <c r="C16" s="22"/>
      <c r="D16" s="24"/>
      <c r="E16" s="24"/>
    </row>
    <row r="17" spans="1:5" x14ac:dyDescent="0.35">
      <c r="A17" s="22"/>
      <c r="B17" s="22"/>
      <c r="C17" s="22"/>
      <c r="D17" s="22"/>
      <c r="E17" s="22"/>
    </row>
    <row r="18" spans="1:5" x14ac:dyDescent="0.35">
      <c r="A18" s="22"/>
      <c r="B18" s="22"/>
      <c r="C18" s="22"/>
      <c r="D18" s="22"/>
      <c r="E18" s="22"/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</sheetData>
  <mergeCells count="2">
    <mergeCell ref="A1:E1"/>
    <mergeCell ref="A2:E2"/>
  </mergeCells>
  <hyperlinks>
    <hyperlink ref="C4" r:id="rId1" xr:uid="{81CEEB3F-313B-4D2B-BC5B-A113B268E05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5446-964B-4FD2-B169-07E1FE5D5E21}">
  <sheetPr codeName="Лист15"/>
  <dimension ref="A1:E20"/>
  <sheetViews>
    <sheetView topLeftCell="A10" zoomScale="70" zoomScaleNormal="70" workbookViewId="0">
      <selection sqref="A1:E1"/>
    </sheetView>
  </sheetViews>
  <sheetFormatPr defaultRowHeight="18" x14ac:dyDescent="0.35"/>
  <cols>
    <col min="1" max="1" width="8.88671875" style="9"/>
    <col min="2" max="2" width="40" style="9" customWidth="1"/>
    <col min="3" max="3" width="20.4414062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39" t="s">
        <v>182</v>
      </c>
      <c r="B1" s="39"/>
      <c r="C1" s="39"/>
      <c r="D1" s="39"/>
      <c r="E1" s="39"/>
    </row>
    <row r="2" spans="1:5" ht="77.400000000000006" customHeight="1" x14ac:dyDescent="0.35">
      <c r="A2" s="43" t="s">
        <v>134</v>
      </c>
      <c r="B2" s="43"/>
      <c r="C2" s="43"/>
      <c r="D2" s="43"/>
      <c r="E2" s="43"/>
    </row>
    <row r="3" spans="1:5" x14ac:dyDescent="0.35">
      <c r="A3" s="23" t="s">
        <v>100</v>
      </c>
      <c r="B3" s="23" t="s">
        <v>37</v>
      </c>
      <c r="C3" s="23" t="s">
        <v>103</v>
      </c>
      <c r="D3" s="23" t="s">
        <v>102</v>
      </c>
      <c r="E3" s="23" t="s">
        <v>104</v>
      </c>
    </row>
    <row r="4" spans="1:5" ht="43.2" x14ac:dyDescent="0.35">
      <c r="A4" s="3">
        <v>1</v>
      </c>
      <c r="B4" s="29" t="s">
        <v>135</v>
      </c>
      <c r="C4" s="25" t="s">
        <v>136</v>
      </c>
      <c r="D4" s="29" t="s">
        <v>137</v>
      </c>
      <c r="E4" s="29"/>
    </row>
    <row r="5" spans="1:5" ht="36" x14ac:dyDescent="0.35">
      <c r="A5" s="3">
        <v>2</v>
      </c>
      <c r="B5" s="29" t="s">
        <v>138</v>
      </c>
      <c r="C5" s="3"/>
      <c r="D5" s="29" t="s">
        <v>149</v>
      </c>
      <c r="E5" s="29"/>
    </row>
    <row r="6" spans="1:5" ht="54" x14ac:dyDescent="0.35">
      <c r="A6" s="3">
        <v>3</v>
      </c>
      <c r="B6" s="29" t="s">
        <v>139</v>
      </c>
      <c r="C6" s="3"/>
      <c r="D6" s="29" t="s">
        <v>150</v>
      </c>
      <c r="E6" s="29"/>
    </row>
    <row r="7" spans="1:5" ht="36" x14ac:dyDescent="0.35">
      <c r="A7" s="3">
        <v>4</v>
      </c>
      <c r="B7" s="29" t="s">
        <v>151</v>
      </c>
      <c r="C7" s="3" t="s">
        <v>204</v>
      </c>
      <c r="D7" s="29" t="s">
        <v>156</v>
      </c>
      <c r="E7" s="29"/>
    </row>
    <row r="8" spans="1:5" ht="36" x14ac:dyDescent="0.35">
      <c r="A8" s="3">
        <v>5</v>
      </c>
      <c r="B8" s="29" t="s">
        <v>152</v>
      </c>
      <c r="C8" s="3">
        <v>611945025</v>
      </c>
      <c r="D8" s="29" t="s">
        <v>157</v>
      </c>
      <c r="E8" s="29"/>
    </row>
    <row r="9" spans="1:5" ht="36" x14ac:dyDescent="0.35">
      <c r="A9" s="3">
        <v>6</v>
      </c>
      <c r="B9" s="29" t="s">
        <v>140</v>
      </c>
      <c r="C9" s="3" t="s">
        <v>205</v>
      </c>
      <c r="D9" s="29" t="s">
        <v>156</v>
      </c>
      <c r="E9" s="29"/>
    </row>
    <row r="10" spans="1:5" ht="36" x14ac:dyDescent="0.35">
      <c r="A10" s="3">
        <v>7</v>
      </c>
      <c r="B10" s="29" t="s">
        <v>153</v>
      </c>
      <c r="C10" s="3">
        <v>1</v>
      </c>
      <c r="D10" s="29" t="s">
        <v>158</v>
      </c>
      <c r="E10" s="29"/>
    </row>
    <row r="11" spans="1:5" ht="36" x14ac:dyDescent="0.35">
      <c r="A11" s="3">
        <v>8</v>
      </c>
      <c r="B11" s="29" t="s">
        <v>151</v>
      </c>
      <c r="C11" s="3" t="s">
        <v>206</v>
      </c>
      <c r="D11" s="29" t="s">
        <v>156</v>
      </c>
      <c r="E11" s="29"/>
    </row>
    <row r="12" spans="1:5" ht="36" x14ac:dyDescent="0.35">
      <c r="A12" s="3">
        <v>9</v>
      </c>
      <c r="B12" s="29" t="s">
        <v>152</v>
      </c>
      <c r="C12" s="3">
        <v>611952521</v>
      </c>
      <c r="D12" s="29" t="s">
        <v>157</v>
      </c>
      <c r="E12" s="29"/>
    </row>
    <row r="13" spans="1:5" ht="36" x14ac:dyDescent="0.35">
      <c r="A13" s="3">
        <v>10</v>
      </c>
      <c r="B13" s="29" t="s">
        <v>140</v>
      </c>
      <c r="C13" s="3" t="s">
        <v>207</v>
      </c>
      <c r="D13" s="29" t="s">
        <v>156</v>
      </c>
      <c r="E13" s="29"/>
    </row>
    <row r="14" spans="1:5" ht="36" x14ac:dyDescent="0.35">
      <c r="A14" s="3">
        <v>11</v>
      </c>
      <c r="B14" s="29" t="s">
        <v>153</v>
      </c>
      <c r="C14" s="3">
        <v>2</v>
      </c>
      <c r="D14" s="29" t="s">
        <v>158</v>
      </c>
      <c r="E14" s="29"/>
    </row>
    <row r="15" spans="1:5" ht="36" x14ac:dyDescent="0.35">
      <c r="A15" s="3">
        <v>12</v>
      </c>
      <c r="B15" s="26" t="s">
        <v>148</v>
      </c>
      <c r="C15" s="3"/>
      <c r="D15" s="29" t="s">
        <v>159</v>
      </c>
      <c r="E15" s="29"/>
    </row>
    <row r="16" spans="1:5" ht="129" customHeight="1" x14ac:dyDescent="0.35">
      <c r="A16" s="3">
        <v>13</v>
      </c>
      <c r="B16" s="2" t="s">
        <v>154</v>
      </c>
      <c r="C16" s="3"/>
      <c r="D16" s="29" t="s">
        <v>160</v>
      </c>
      <c r="E16" s="27" t="s">
        <v>209</v>
      </c>
    </row>
    <row r="17" spans="1:5" ht="144" x14ac:dyDescent="0.35">
      <c r="A17" s="3">
        <v>14</v>
      </c>
      <c r="B17" s="26" t="s">
        <v>155</v>
      </c>
      <c r="C17" s="3"/>
      <c r="D17" s="29" t="s">
        <v>208</v>
      </c>
      <c r="E17" s="29" t="s">
        <v>210</v>
      </c>
    </row>
    <row r="18" spans="1:5" x14ac:dyDescent="0.35">
      <c r="A18" s="22"/>
      <c r="B18" s="22"/>
      <c r="C18" s="22"/>
      <c r="D18" s="22"/>
      <c r="E18" s="22"/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</sheetData>
  <mergeCells count="2">
    <mergeCell ref="A1:E1"/>
    <mergeCell ref="A2:E2"/>
  </mergeCells>
  <hyperlinks>
    <hyperlink ref="C4" r:id="rId1" xr:uid="{9E499C2E-73D3-4A3B-B2FE-6236BD78601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4BAF-B450-4EA2-9FB3-3DC83866AE62}">
  <sheetPr codeName="Лист16"/>
  <dimension ref="A1:E20"/>
  <sheetViews>
    <sheetView topLeftCell="A4" zoomScale="70" zoomScaleNormal="70" workbookViewId="0">
      <selection activeCell="A2" sqref="A2:E2"/>
    </sheetView>
  </sheetViews>
  <sheetFormatPr defaultRowHeight="18" x14ac:dyDescent="0.35"/>
  <cols>
    <col min="1" max="1" width="8.88671875" style="9"/>
    <col min="2" max="2" width="40" style="9" customWidth="1"/>
    <col min="3" max="3" width="37.109375" style="9" customWidth="1"/>
    <col min="4" max="4" width="30.33203125" style="9" customWidth="1"/>
    <col min="5" max="5" width="20.33203125" style="9" customWidth="1"/>
    <col min="6" max="16384" width="8.88671875" style="9"/>
  </cols>
  <sheetData>
    <row r="1" spans="1:5" x14ac:dyDescent="0.35">
      <c r="A1" s="39" t="s">
        <v>229</v>
      </c>
      <c r="B1" s="39"/>
      <c r="C1" s="39"/>
      <c r="D1" s="39"/>
      <c r="E1" s="39"/>
    </row>
    <row r="2" spans="1:5" ht="150" customHeight="1" x14ac:dyDescent="0.35">
      <c r="A2" s="43" t="s">
        <v>228</v>
      </c>
      <c r="B2" s="43"/>
      <c r="C2" s="43"/>
      <c r="D2" s="43"/>
      <c r="E2" s="43"/>
    </row>
    <row r="3" spans="1:5" x14ac:dyDescent="0.35">
      <c r="A3" s="30" t="s">
        <v>100</v>
      </c>
      <c r="B3" s="30" t="s">
        <v>37</v>
      </c>
      <c r="C3" s="30" t="s">
        <v>103</v>
      </c>
      <c r="D3" s="30" t="s">
        <v>102</v>
      </c>
      <c r="E3" s="30" t="s">
        <v>104</v>
      </c>
    </row>
    <row r="4" spans="1:5" ht="54" x14ac:dyDescent="0.35">
      <c r="A4" s="3">
        <v>1</v>
      </c>
      <c r="B4" s="26" t="s">
        <v>217</v>
      </c>
      <c r="C4" s="29" t="s">
        <v>218</v>
      </c>
      <c r="D4" s="29" t="s">
        <v>222</v>
      </c>
      <c r="E4" s="29"/>
    </row>
    <row r="5" spans="1:5" ht="54" x14ac:dyDescent="0.35">
      <c r="A5" s="3">
        <v>2</v>
      </c>
      <c r="B5" s="29" t="s">
        <v>230</v>
      </c>
      <c r="C5" s="29" t="s">
        <v>259</v>
      </c>
      <c r="D5" s="29" t="s">
        <v>231</v>
      </c>
      <c r="E5" s="29"/>
    </row>
    <row r="6" spans="1:5" ht="72" x14ac:dyDescent="0.35">
      <c r="A6" s="3">
        <v>3</v>
      </c>
      <c r="B6" s="29" t="s">
        <v>232</v>
      </c>
      <c r="C6" s="3" t="s">
        <v>233</v>
      </c>
      <c r="D6" s="29" t="s">
        <v>238</v>
      </c>
      <c r="E6" s="29"/>
    </row>
    <row r="7" spans="1:5" ht="54" x14ac:dyDescent="0.35">
      <c r="A7" s="3">
        <v>4</v>
      </c>
      <c r="B7" s="29" t="s">
        <v>234</v>
      </c>
      <c r="C7" s="3" t="s">
        <v>235</v>
      </c>
      <c r="D7" s="29" t="s">
        <v>239</v>
      </c>
      <c r="E7" s="29"/>
    </row>
    <row r="8" spans="1:5" ht="90" x14ac:dyDescent="0.35">
      <c r="A8" s="3">
        <v>5</v>
      </c>
      <c r="B8" s="29" t="s">
        <v>236</v>
      </c>
      <c r="C8" s="3" t="s">
        <v>237</v>
      </c>
      <c r="D8" s="29" t="s">
        <v>240</v>
      </c>
      <c r="E8" s="29"/>
    </row>
    <row r="9" spans="1:5" ht="90" x14ac:dyDescent="0.35">
      <c r="A9" s="3">
        <v>6</v>
      </c>
      <c r="B9" s="2" t="s">
        <v>225</v>
      </c>
      <c r="C9" s="2" t="s">
        <v>250</v>
      </c>
      <c r="D9" s="2" t="s">
        <v>227</v>
      </c>
      <c r="E9" s="29" t="s">
        <v>226</v>
      </c>
    </row>
    <row r="10" spans="1:5" ht="90" x14ac:dyDescent="0.35">
      <c r="A10" s="3">
        <v>7</v>
      </c>
      <c r="B10" s="29" t="s">
        <v>219</v>
      </c>
      <c r="C10" s="29" t="s">
        <v>241</v>
      </c>
      <c r="D10" s="29" t="s">
        <v>223</v>
      </c>
      <c r="E10" s="29"/>
    </row>
    <row r="11" spans="1:5" ht="54" x14ac:dyDescent="0.35">
      <c r="A11" s="3">
        <v>8</v>
      </c>
      <c r="B11" s="29" t="s">
        <v>242</v>
      </c>
      <c r="C11" s="3" t="s">
        <v>243</v>
      </c>
      <c r="D11" s="29" t="s">
        <v>244</v>
      </c>
      <c r="E11" s="29"/>
    </row>
    <row r="12" spans="1:5" ht="54" x14ac:dyDescent="0.35">
      <c r="A12" s="3">
        <v>9</v>
      </c>
      <c r="B12" s="29" t="s">
        <v>245</v>
      </c>
      <c r="C12" s="3" t="s">
        <v>246</v>
      </c>
      <c r="D12" s="29" t="s">
        <v>247</v>
      </c>
      <c r="E12" s="29"/>
    </row>
    <row r="13" spans="1:5" ht="54" x14ac:dyDescent="0.35">
      <c r="A13" s="3">
        <v>10</v>
      </c>
      <c r="B13" s="2" t="s">
        <v>249</v>
      </c>
      <c r="C13" s="13" t="s">
        <v>251</v>
      </c>
      <c r="D13" s="2" t="s">
        <v>248</v>
      </c>
      <c r="E13" s="32"/>
    </row>
    <row r="14" spans="1:5" ht="36" x14ac:dyDescent="0.35">
      <c r="A14" s="3">
        <v>11</v>
      </c>
      <c r="B14" s="29" t="s">
        <v>253</v>
      </c>
      <c r="C14" s="3"/>
      <c r="D14" s="29" t="s">
        <v>254</v>
      </c>
      <c r="E14" s="29"/>
    </row>
    <row r="15" spans="1:5" x14ac:dyDescent="0.35">
      <c r="A15" s="3">
        <v>12</v>
      </c>
      <c r="B15" s="29" t="s">
        <v>220</v>
      </c>
      <c r="C15" s="3"/>
      <c r="D15" s="29" t="s">
        <v>224</v>
      </c>
      <c r="E15" s="29"/>
    </row>
    <row r="16" spans="1:5" ht="198" x14ac:dyDescent="0.35">
      <c r="A16" s="3">
        <v>13</v>
      </c>
      <c r="B16" s="29" t="s">
        <v>221</v>
      </c>
      <c r="C16" s="3"/>
      <c r="D16" s="29" t="s">
        <v>252</v>
      </c>
      <c r="E16" s="29"/>
    </row>
    <row r="17" spans="1:5" ht="54" x14ac:dyDescent="0.35">
      <c r="A17" s="3">
        <v>14</v>
      </c>
      <c r="B17" s="26" t="s">
        <v>255</v>
      </c>
      <c r="C17" s="32"/>
      <c r="D17" s="15" t="s">
        <v>256</v>
      </c>
      <c r="E17" s="32"/>
    </row>
    <row r="18" spans="1:5" ht="144" x14ac:dyDescent="0.35">
      <c r="A18" s="3">
        <v>15</v>
      </c>
      <c r="B18" s="26" t="s">
        <v>257</v>
      </c>
      <c r="C18" s="26"/>
      <c r="D18" s="2" t="s">
        <v>258</v>
      </c>
      <c r="E18" s="2" t="s">
        <v>260</v>
      </c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</sheetData>
  <mergeCells count="2">
    <mergeCell ref="A1:E1"/>
    <mergeCell ref="A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A6D2-328A-42E4-A007-E29EEE8E5A08}">
  <sheetPr codeName="Лист17"/>
  <dimension ref="A1:I20"/>
  <sheetViews>
    <sheetView topLeftCell="A6" zoomScale="70" zoomScaleNormal="70" workbookViewId="0">
      <selection activeCell="O21" sqref="O21"/>
    </sheetView>
  </sheetViews>
  <sheetFormatPr defaultRowHeight="18" x14ac:dyDescent="0.35"/>
  <cols>
    <col min="1" max="1" width="8.6640625" style="9" customWidth="1"/>
    <col min="2" max="2" width="50.44140625" style="9" customWidth="1"/>
    <col min="3" max="3" width="21.21875" style="9" customWidth="1"/>
    <col min="4" max="4" width="14.44140625" style="9" customWidth="1"/>
    <col min="5" max="5" width="13" style="9" customWidth="1"/>
    <col min="6" max="6" width="19" style="9" customWidth="1"/>
    <col min="7" max="7" width="22" style="9" customWidth="1"/>
    <col min="8" max="8" width="15.44140625" style="9" customWidth="1"/>
    <col min="9" max="9" width="9.5546875" style="9" customWidth="1"/>
    <col min="10" max="11" width="8.88671875" style="9"/>
    <col min="12" max="12" width="20.5546875" style="9" customWidth="1"/>
    <col min="13" max="16384" width="8.88671875" style="9"/>
  </cols>
  <sheetData>
    <row r="1" spans="1:9" x14ac:dyDescent="0.35">
      <c r="H1" s="47" t="s">
        <v>266</v>
      </c>
      <c r="I1" s="48"/>
    </row>
    <row r="2" spans="1:9" x14ac:dyDescent="0.35">
      <c r="H2" s="33" t="s">
        <v>280</v>
      </c>
      <c r="I2" s="28">
        <f>COUNTIF($E$8:$E$20, "New")</f>
        <v>0</v>
      </c>
    </row>
    <row r="3" spans="1:9" x14ac:dyDescent="0.35">
      <c r="H3" s="33" t="s">
        <v>281</v>
      </c>
      <c r="I3" s="28">
        <f>COUNTIF($E$8:$E$20, "In Progress")</f>
        <v>0</v>
      </c>
    </row>
    <row r="4" spans="1:9" x14ac:dyDescent="0.35">
      <c r="H4" s="33" t="s">
        <v>282</v>
      </c>
      <c r="I4" s="28">
        <f>COUNTIF($E$8:$E$20, "Pass")</f>
        <v>11</v>
      </c>
    </row>
    <row r="5" spans="1:9" x14ac:dyDescent="0.35">
      <c r="H5" s="33" t="s">
        <v>283</v>
      </c>
      <c r="I5" s="28">
        <f>COUNTIF($E$8:$E$20, "Fail")</f>
        <v>2</v>
      </c>
    </row>
    <row r="6" spans="1:9" x14ac:dyDescent="0.35">
      <c r="H6" s="33" t="s">
        <v>284</v>
      </c>
      <c r="I6" s="28">
        <f>COUNTIF($E$8:$E$20, "Blocked")</f>
        <v>0</v>
      </c>
    </row>
    <row r="7" spans="1:9" ht="34.799999999999997" x14ac:dyDescent="0.35">
      <c r="A7" s="1" t="s">
        <v>0</v>
      </c>
      <c r="B7" s="1" t="s">
        <v>285</v>
      </c>
      <c r="C7" s="1" t="s">
        <v>261</v>
      </c>
      <c r="D7" s="1" t="s">
        <v>262</v>
      </c>
      <c r="E7" s="1" t="s">
        <v>263</v>
      </c>
      <c r="F7" s="1" t="s">
        <v>264</v>
      </c>
      <c r="G7" s="1" t="s">
        <v>265</v>
      </c>
    </row>
    <row r="8" spans="1:9" x14ac:dyDescent="0.35">
      <c r="A8" s="3" t="s">
        <v>267</v>
      </c>
      <c r="B8" s="31" t="s">
        <v>6</v>
      </c>
      <c r="C8" s="3" t="s">
        <v>288</v>
      </c>
      <c r="D8" s="3" t="s">
        <v>39</v>
      </c>
      <c r="E8" s="3" t="s">
        <v>282</v>
      </c>
      <c r="F8" s="3" t="s">
        <v>2</v>
      </c>
      <c r="G8" s="3"/>
    </row>
    <row r="9" spans="1:9" x14ac:dyDescent="0.35">
      <c r="A9" s="3" t="s">
        <v>270</v>
      </c>
      <c r="B9" s="29" t="s">
        <v>7</v>
      </c>
      <c r="C9" s="3" t="s">
        <v>288</v>
      </c>
      <c r="D9" s="3" t="s">
        <v>39</v>
      </c>
      <c r="E9" s="3" t="s">
        <v>282</v>
      </c>
      <c r="F9" s="3" t="s">
        <v>13</v>
      </c>
      <c r="G9" s="3"/>
    </row>
    <row r="10" spans="1:9" ht="36" x14ac:dyDescent="0.35">
      <c r="A10" s="3" t="s">
        <v>268</v>
      </c>
      <c r="B10" s="31" t="s">
        <v>4</v>
      </c>
      <c r="C10" s="3" t="s">
        <v>288</v>
      </c>
      <c r="D10" s="3" t="s">
        <v>40</v>
      </c>
      <c r="E10" s="3" t="s">
        <v>283</v>
      </c>
      <c r="F10" s="3" t="s">
        <v>15</v>
      </c>
      <c r="G10" s="3" t="s">
        <v>291</v>
      </c>
    </row>
    <row r="11" spans="1:9" ht="36" x14ac:dyDescent="0.35">
      <c r="A11" s="3" t="s">
        <v>271</v>
      </c>
      <c r="B11" s="29" t="s">
        <v>23</v>
      </c>
      <c r="C11" s="3" t="s">
        <v>288</v>
      </c>
      <c r="D11" s="3" t="s">
        <v>39</v>
      </c>
      <c r="E11" s="3" t="s">
        <v>282</v>
      </c>
      <c r="F11" s="3" t="s">
        <v>31</v>
      </c>
      <c r="G11" s="3"/>
    </row>
    <row r="12" spans="1:9" ht="36" x14ac:dyDescent="0.35">
      <c r="A12" s="3" t="s">
        <v>269</v>
      </c>
      <c r="B12" s="27" t="s">
        <v>129</v>
      </c>
      <c r="C12" s="3" t="s">
        <v>288</v>
      </c>
      <c r="D12" s="3" t="s">
        <v>39</v>
      </c>
      <c r="E12" s="3" t="s">
        <v>282</v>
      </c>
      <c r="F12" s="3" t="s">
        <v>32</v>
      </c>
      <c r="G12" s="3"/>
    </row>
    <row r="13" spans="1:9" x14ac:dyDescent="0.35">
      <c r="A13" s="3" t="s">
        <v>272</v>
      </c>
      <c r="B13" s="29" t="s">
        <v>34</v>
      </c>
      <c r="C13" s="3" t="s">
        <v>288</v>
      </c>
      <c r="D13" s="3" t="s">
        <v>40</v>
      </c>
      <c r="E13" s="3" t="s">
        <v>283</v>
      </c>
      <c r="F13" s="3" t="s">
        <v>62</v>
      </c>
      <c r="G13" s="3" t="s">
        <v>292</v>
      </c>
    </row>
    <row r="14" spans="1:9" ht="36" x14ac:dyDescent="0.35">
      <c r="A14" s="3" t="s">
        <v>273</v>
      </c>
      <c r="B14" s="29" t="s">
        <v>75</v>
      </c>
      <c r="C14" s="3" t="s">
        <v>290</v>
      </c>
      <c r="D14" s="3" t="s">
        <v>39</v>
      </c>
      <c r="E14" s="3" t="s">
        <v>282</v>
      </c>
      <c r="F14" s="3" t="s">
        <v>164</v>
      </c>
      <c r="G14" s="3"/>
    </row>
    <row r="15" spans="1:9" ht="54" x14ac:dyDescent="0.35">
      <c r="A15" s="3" t="s">
        <v>274</v>
      </c>
      <c r="B15" s="29" t="s">
        <v>72</v>
      </c>
      <c r="C15" s="3" t="s">
        <v>290</v>
      </c>
      <c r="D15" s="3" t="s">
        <v>39</v>
      </c>
      <c r="E15" s="3" t="s">
        <v>282</v>
      </c>
      <c r="F15" s="3" t="s">
        <v>165</v>
      </c>
      <c r="G15" s="3"/>
    </row>
    <row r="16" spans="1:9" ht="54" x14ac:dyDescent="0.35">
      <c r="A16" s="3" t="s">
        <v>275</v>
      </c>
      <c r="B16" s="29" t="s">
        <v>73</v>
      </c>
      <c r="C16" s="3" t="s">
        <v>290</v>
      </c>
      <c r="D16" s="3" t="s">
        <v>39</v>
      </c>
      <c r="E16" s="3" t="s">
        <v>282</v>
      </c>
      <c r="F16" s="3" t="s">
        <v>166</v>
      </c>
      <c r="G16" s="3"/>
    </row>
    <row r="17" spans="1:7" ht="36" x14ac:dyDescent="0.35">
      <c r="A17" s="3" t="s">
        <v>276</v>
      </c>
      <c r="B17" s="29" t="s">
        <v>98</v>
      </c>
      <c r="C17" s="3" t="s">
        <v>290</v>
      </c>
      <c r="D17" s="3" t="s">
        <v>39</v>
      </c>
      <c r="E17" s="3" t="s">
        <v>282</v>
      </c>
      <c r="F17" s="3" t="s">
        <v>167</v>
      </c>
      <c r="G17" s="3"/>
    </row>
    <row r="18" spans="1:7" ht="36" x14ac:dyDescent="0.35">
      <c r="A18" s="3" t="s">
        <v>277</v>
      </c>
      <c r="B18" s="29" t="s">
        <v>77</v>
      </c>
      <c r="C18" s="3" t="s">
        <v>290</v>
      </c>
      <c r="D18" s="3" t="s">
        <v>39</v>
      </c>
      <c r="E18" s="3" t="s">
        <v>282</v>
      </c>
      <c r="F18" s="3" t="s">
        <v>168</v>
      </c>
      <c r="G18" s="3"/>
    </row>
    <row r="19" spans="1:7" ht="36" x14ac:dyDescent="0.35">
      <c r="A19" s="3" t="s">
        <v>278</v>
      </c>
      <c r="B19" s="29" t="s">
        <v>80</v>
      </c>
      <c r="C19" s="3" t="s">
        <v>290</v>
      </c>
      <c r="D19" s="3" t="s">
        <v>39</v>
      </c>
      <c r="E19" s="3" t="s">
        <v>282</v>
      </c>
      <c r="F19" s="3" t="s">
        <v>169</v>
      </c>
      <c r="G19" s="3"/>
    </row>
    <row r="20" spans="1:7" ht="90" x14ac:dyDescent="0.35">
      <c r="A20" s="3" t="s">
        <v>279</v>
      </c>
      <c r="B20" s="29" t="s">
        <v>215</v>
      </c>
      <c r="C20" s="3" t="s">
        <v>289</v>
      </c>
      <c r="D20" s="3" t="s">
        <v>39</v>
      </c>
      <c r="E20" s="3" t="s">
        <v>282</v>
      </c>
      <c r="F20" s="3" t="s">
        <v>173</v>
      </c>
      <c r="G20" s="3" t="s">
        <v>331</v>
      </c>
    </row>
  </sheetData>
  <mergeCells count="1">
    <mergeCell ref="H1:I1"/>
  </mergeCells>
  <phoneticPr fontId="3" type="noConversion"/>
  <conditionalFormatting sqref="E8:E20">
    <cfRule type="containsText" dxfId="6" priority="1" operator="containsText" text="Blocked">
      <formula>NOT(ISERROR(SEARCH("Blocked",E8)))</formula>
    </cfRule>
    <cfRule type="containsText" dxfId="5" priority="2" operator="containsText" text="Fail">
      <formula>NOT(ISERROR(SEARCH("Fail",E8)))</formula>
    </cfRule>
    <cfRule type="containsText" dxfId="4" priority="3" operator="containsText" text="Pass">
      <formula>NOT(ISERROR(SEARCH("Pass",E8)))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F60D50-E2DE-45BF-9EBF-4AC6737E9571}">
          <x14:formula1>
            <xm:f>'CL-status'!$A$1:$A$5</xm:f>
          </x14:formula1>
          <xm:sqref>E8:E20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3CD5-E656-45C8-BF43-B4F6185102A4}">
  <sheetPr codeName="Лист1"/>
  <dimension ref="A1:N6"/>
  <sheetViews>
    <sheetView tabSelected="1" topLeftCell="A4" zoomScale="60" zoomScaleNormal="60" workbookViewId="0">
      <selection activeCell="L6" sqref="L6"/>
    </sheetView>
  </sheetViews>
  <sheetFormatPr defaultRowHeight="18" x14ac:dyDescent="0.35"/>
  <cols>
    <col min="1" max="1" width="10.6640625" style="11" customWidth="1"/>
    <col min="2" max="2" width="25" style="11" customWidth="1"/>
    <col min="3" max="3" width="27.5546875" style="11" customWidth="1"/>
    <col min="4" max="4" width="31.21875" style="11" customWidth="1"/>
    <col min="5" max="5" width="33.6640625" style="11" customWidth="1"/>
    <col min="6" max="6" width="23.5546875" style="11" customWidth="1"/>
    <col min="7" max="7" width="22.77734375" style="11" customWidth="1"/>
    <col min="8" max="8" width="9.88671875" style="11" customWidth="1"/>
    <col min="9" max="9" width="11.109375" style="11" customWidth="1"/>
    <col min="10" max="10" width="18.33203125" style="11" customWidth="1"/>
    <col min="11" max="11" width="22.77734375" style="11" customWidth="1"/>
    <col min="12" max="12" width="50.6640625" style="11" customWidth="1"/>
    <col min="13" max="13" width="12.33203125" style="11" customWidth="1"/>
    <col min="14" max="16384" width="8.88671875" style="11"/>
  </cols>
  <sheetData>
    <row r="1" spans="1:14" ht="34.799999999999997" x14ac:dyDescent="0.35">
      <c r="A1" s="1" t="s">
        <v>0</v>
      </c>
      <c r="B1" s="1" t="s">
        <v>294</v>
      </c>
      <c r="C1" s="1" t="s">
        <v>296</v>
      </c>
      <c r="D1" s="1" t="s">
        <v>297</v>
      </c>
      <c r="E1" s="1" t="s">
        <v>305</v>
      </c>
      <c r="F1" s="1" t="s">
        <v>102</v>
      </c>
      <c r="G1" s="1" t="s">
        <v>295</v>
      </c>
      <c r="H1" s="1" t="s">
        <v>36</v>
      </c>
      <c r="I1" s="1" t="s">
        <v>298</v>
      </c>
      <c r="J1" s="1" t="s">
        <v>309</v>
      </c>
      <c r="K1" s="1" t="s">
        <v>310</v>
      </c>
      <c r="L1" s="1" t="s">
        <v>311</v>
      </c>
      <c r="M1" s="37" t="s">
        <v>314</v>
      </c>
      <c r="N1" s="1" t="s">
        <v>299</v>
      </c>
    </row>
    <row r="2" spans="1:14" ht="162" x14ac:dyDescent="0.35">
      <c r="A2" s="3" t="s">
        <v>291</v>
      </c>
      <c r="B2" s="35" t="s">
        <v>303</v>
      </c>
      <c r="C2" s="2" t="s">
        <v>312</v>
      </c>
      <c r="D2" s="2" t="s">
        <v>304</v>
      </c>
      <c r="E2" s="35" t="s">
        <v>306</v>
      </c>
      <c r="F2" s="2" t="s">
        <v>307</v>
      </c>
      <c r="G2" s="2" t="s">
        <v>308</v>
      </c>
      <c r="H2" s="3" t="s">
        <v>40</v>
      </c>
      <c r="I2" s="3" t="s">
        <v>40</v>
      </c>
      <c r="J2" s="2" t="s">
        <v>350</v>
      </c>
      <c r="K2" s="2" t="s">
        <v>330</v>
      </c>
      <c r="L2" s="2" t="s">
        <v>313</v>
      </c>
      <c r="M2" s="38" t="s">
        <v>315</v>
      </c>
      <c r="N2" s="3" t="s">
        <v>300</v>
      </c>
    </row>
    <row r="3" spans="1:14" ht="162" x14ac:dyDescent="0.35">
      <c r="A3" s="3" t="s">
        <v>292</v>
      </c>
      <c r="B3" s="35" t="s">
        <v>316</v>
      </c>
      <c r="C3" s="2" t="s">
        <v>317</v>
      </c>
      <c r="D3" s="2" t="s">
        <v>304</v>
      </c>
      <c r="E3" s="2" t="s">
        <v>318</v>
      </c>
      <c r="F3" s="2" t="s">
        <v>319</v>
      </c>
      <c r="G3" s="2" t="s">
        <v>321</v>
      </c>
      <c r="H3" s="3" t="s">
        <v>40</v>
      </c>
      <c r="I3" s="3" t="s">
        <v>40</v>
      </c>
      <c r="J3" s="2" t="s">
        <v>350</v>
      </c>
      <c r="K3" s="2" t="s">
        <v>340</v>
      </c>
      <c r="L3" s="2" t="s">
        <v>322</v>
      </c>
      <c r="M3" s="3" t="s">
        <v>320</v>
      </c>
      <c r="N3" s="3" t="s">
        <v>300</v>
      </c>
    </row>
    <row r="4" spans="1:14" ht="252" x14ac:dyDescent="0.35">
      <c r="A4" s="3" t="s">
        <v>293</v>
      </c>
      <c r="B4" s="2" t="s">
        <v>325</v>
      </c>
      <c r="C4" s="2" t="s">
        <v>326</v>
      </c>
      <c r="D4" s="35" t="s">
        <v>327</v>
      </c>
      <c r="E4" s="2" t="s">
        <v>333</v>
      </c>
      <c r="F4" s="2" t="s">
        <v>328</v>
      </c>
      <c r="G4" s="2" t="s">
        <v>329</v>
      </c>
      <c r="H4" s="3" t="s">
        <v>39</v>
      </c>
      <c r="I4" s="3" t="s">
        <v>39</v>
      </c>
      <c r="J4" s="2" t="s">
        <v>350</v>
      </c>
      <c r="K4" s="35" t="s">
        <v>332</v>
      </c>
      <c r="L4" s="2" t="s">
        <v>334</v>
      </c>
      <c r="M4" s="38" t="s">
        <v>315</v>
      </c>
      <c r="N4" s="3" t="s">
        <v>302</v>
      </c>
    </row>
    <row r="5" spans="1:14" ht="266.39999999999998" customHeight="1" x14ac:dyDescent="0.35">
      <c r="A5" s="3" t="s">
        <v>323</v>
      </c>
      <c r="B5" s="2" t="s">
        <v>335</v>
      </c>
      <c r="C5" s="2" t="s">
        <v>336</v>
      </c>
      <c r="D5" s="2" t="s">
        <v>304</v>
      </c>
      <c r="E5" s="2" t="s">
        <v>337</v>
      </c>
      <c r="F5" s="2" t="s">
        <v>338</v>
      </c>
      <c r="G5" s="2" t="s">
        <v>339</v>
      </c>
      <c r="H5" s="3" t="s">
        <v>39</v>
      </c>
      <c r="I5" s="3" t="s">
        <v>39</v>
      </c>
      <c r="J5" s="2" t="s">
        <v>350</v>
      </c>
      <c r="K5" s="35" t="s">
        <v>342</v>
      </c>
      <c r="L5" s="2" t="s">
        <v>341</v>
      </c>
      <c r="M5" s="3" t="s">
        <v>315</v>
      </c>
      <c r="N5" s="3" t="s">
        <v>300</v>
      </c>
    </row>
    <row r="6" spans="1:14" ht="162" x14ac:dyDescent="0.35">
      <c r="A6" s="3" t="s">
        <v>324</v>
      </c>
      <c r="B6" s="2" t="s">
        <v>343</v>
      </c>
      <c r="C6" s="2" t="s">
        <v>349</v>
      </c>
      <c r="D6" s="2" t="s">
        <v>304</v>
      </c>
      <c r="E6" s="2" t="s">
        <v>348</v>
      </c>
      <c r="F6" s="2" t="s">
        <v>345</v>
      </c>
      <c r="G6" s="2" t="s">
        <v>346</v>
      </c>
      <c r="H6" s="3" t="s">
        <v>344</v>
      </c>
      <c r="I6" s="3" t="s">
        <v>344</v>
      </c>
      <c r="J6" s="2" t="s">
        <v>350</v>
      </c>
      <c r="K6" s="36" t="s">
        <v>351</v>
      </c>
      <c r="L6" s="2" t="s">
        <v>347</v>
      </c>
      <c r="M6" s="3" t="s">
        <v>315</v>
      </c>
      <c r="N6" s="3" t="s">
        <v>300</v>
      </c>
    </row>
  </sheetData>
  <phoneticPr fontId="3" type="noConversion"/>
  <conditionalFormatting sqref="N2:N6">
    <cfRule type="containsText" dxfId="3" priority="1" operator="containsText" text="Open">
      <formula>NOT(ISERROR(SEARCH("Open",N2)))</formula>
    </cfRule>
    <cfRule type="containsText" dxfId="2" priority="2" operator="containsText" text="closed">
      <formula>NOT(ISERROR(SEARCH("closed",N2)))</formula>
    </cfRule>
    <cfRule type="containsText" dxfId="1" priority="3" operator="containsText" text="fixed">
      <formula>NOT(ISERROR(SEARCH("fixed",N2)))</formula>
    </cfRule>
    <cfRule type="containsText" dxfId="0" priority="4" operator="containsText" text="In Progress">
      <formula>NOT(ISERROR(SEARCH("In Progress",N2)))</formula>
    </cfRule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80B6173-3D15-46A4-8825-5EC55E342094}">
          <x14:formula1>
            <xm:f>Bug_status!$A$1:$A$4</xm:f>
          </x14:formula1>
          <xm:sqref>J7 N2:N6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20D8-0090-4592-B199-73E1E9F103F0}">
  <sheetPr codeName="Лист18"/>
  <dimension ref="A1:A4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300</v>
      </c>
    </row>
    <row r="2" spans="1:1" x14ac:dyDescent="0.3">
      <c r="A2" t="s">
        <v>281</v>
      </c>
    </row>
    <row r="3" spans="1:1" x14ac:dyDescent="0.3">
      <c r="A3" t="s">
        <v>301</v>
      </c>
    </row>
    <row r="4" spans="1:1" x14ac:dyDescent="0.3">
      <c r="A4" t="s">
        <v>302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06F7-4F2C-45E4-8677-A43BAD2B0D18}">
  <sheetPr codeName="Лист19"/>
  <dimension ref="A1:A5"/>
  <sheetViews>
    <sheetView workbookViewId="0">
      <selection sqref="A1:A5"/>
    </sheetView>
  </sheetViews>
  <sheetFormatPr defaultRowHeight="14.4" x14ac:dyDescent="0.3"/>
  <sheetData>
    <row r="1" spans="1:1" x14ac:dyDescent="0.3">
      <c r="A1" t="s">
        <v>280</v>
      </c>
    </row>
    <row r="2" spans="1:1" x14ac:dyDescent="0.3">
      <c r="A2" t="s">
        <v>281</v>
      </c>
    </row>
    <row r="3" spans="1:1" x14ac:dyDescent="0.3">
      <c r="A3" t="s">
        <v>282</v>
      </c>
    </row>
    <row r="4" spans="1:1" x14ac:dyDescent="0.3">
      <c r="A4" t="s">
        <v>283</v>
      </c>
    </row>
    <row r="5" spans="1:1" x14ac:dyDescent="0.3">
      <c r="A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test suite</vt:lpstr>
      <vt:lpstr>temp tc</vt:lpstr>
      <vt:lpstr>TS-01</vt:lpstr>
      <vt:lpstr>TS-03</vt:lpstr>
      <vt:lpstr>TS-05</vt:lpstr>
      <vt:lpstr>TS-14</vt:lpstr>
      <vt:lpstr>TS-15</vt:lpstr>
      <vt:lpstr>TS-19</vt:lpstr>
      <vt:lpstr>TS-API-20</vt:lpstr>
      <vt:lpstr>TS-API-21</vt:lpstr>
      <vt:lpstr>TS-API-22</vt:lpstr>
      <vt:lpstr>TS-API-23</vt:lpstr>
      <vt:lpstr>TS-API-24</vt:lpstr>
      <vt:lpstr>TS-API-25</vt:lpstr>
      <vt:lpstr>TS-LT-29</vt:lpstr>
      <vt:lpstr>Check List</vt:lpstr>
      <vt:lpstr>Bugs</vt:lpstr>
      <vt:lpstr>Bug_status</vt:lpstr>
      <vt:lpstr>CL-status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UserX</dc:creator>
  <cp:lastModifiedBy>UserX</cp:lastModifiedBy>
  <dcterms:created xsi:type="dcterms:W3CDTF">2015-06-05T18:19:34Z</dcterms:created>
  <dcterms:modified xsi:type="dcterms:W3CDTF">2026-06-13T11:53:36Z</dcterms:modified>
</cp:coreProperties>
</file>